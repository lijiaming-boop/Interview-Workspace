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e28008638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111d28c563af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9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0" borderId="11" xfId="0" applyNumberFormat="1" applyFont="1" applyFill="1" applyBorder="1" applyAlignment="1">
      <x:alignment vertical="center"/>
    </x:xf>
    <x:xf numFmtId="0" fontId="134" fillId="0" borderId="0" xfId="0" applyNumberFormat="1" applyFont="1" applyFill="1" applyBorder="1" applyAlignment="1">
      <x:alignment vertical="center"/>
    </x:xf>
    <x:xf numFmtId="0" fontId="134" fillId="0" borderId="13" xfId="0" applyNumberFormat="1" applyFont="1" applyFill="1" applyBorder="1" applyAlignment="1">
      <x:alignment vertical="center"/>
    </x:xf>
    <x:xf numFmtId="0" fontId="134" fillId="0" borderId="15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95d45b12548e8" /><Relationship Type="http://schemas.openxmlformats.org/officeDocument/2006/relationships/theme" Target="/xl/theme/theme1.xml" Id="Ra06b9fdd898d4d55" /><Relationship Type="http://schemas.openxmlformats.org/officeDocument/2006/relationships/sharedStrings" Target="/xl/sharedStrings.xml" Id="R4e7006d3bf2d46ff" /><Relationship Type="http://schemas.openxmlformats.org/officeDocument/2006/relationships/worksheet" Target="/xl/worksheets/sheet1.xml" Id="R111d28c563af429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8" t="str">
        <x:v>本地化能源管理建设项目｜云智控产品报价表（渠道价）</x:v>
      </x:c>
      <x:c r="B1" s="468"/>
      <x:c r="C1" s="468"/>
      <x:c r="D1" s="468"/>
      <x:c r="E1" s="468"/>
      <x:c r="F1" s="468"/>
      <x:c r="G1" s="468"/>
      <x:c r="H1" s="468"/>
      <x:c r="I1" s="468"/>
      <x:c r="J1" s="468"/>
      <x:c r="K1" s="407"/>
      <x:c r="L1" s="407"/>
      <x:c r="M1" s="407"/>
    </x:row>
    <x:row r="2" s="400" customFormat="1" ht="30" customHeight="1">
      <x:c r="A2" s="472" t="str">
        <x:v>序号</x:v>
      </x:c>
      <x:c r="B2" s="472" t="str">
        <x:v>模块</x:v>
      </x:c>
      <x:c r="C2" s="472" t="str">
        <x:v>数量</x:v>
      </x:c>
      <x:c r="D2" s="472" t="str">
        <x:v>单位</x:v>
      </x:c>
      <x:c r="E2" s="472" t="str">
        <x:v>功能描述</x:v>
      </x:c>
      <x:c r="F2" s="472" t="str">
        <x:v>品牌</x:v>
      </x:c>
      <x:c r="G2" s="472" t="str">
        <x:v>型号</x:v>
      </x:c>
      <x:c r="H2" s="473" t="str">
        <x:v>单价（元）</x:v>
      </x:c>
      <x:c r="I2" s="473" t="str">
        <x:v>总价（元）</x:v>
      </x:c>
      <x:c r="J2" s="472" t="str">
        <x:v>备注</x:v>
      </x:c>
      <x:c r="K2" s="407"/>
      <x:c r="L2" s="407"/>
      <x:c r="M2" s="407"/>
    </x:row>
    <x:row r="3" s="17" customFormat="1" ht="24" customHeight="1">
      <x:c r="A3" s="472" t="str">
        <x:v>一</x:v>
      </x:c>
      <x:c r="B3" s="475" t="str">
        <x:v>平台软件</x:v>
      </x:c>
      <x:c r="C3" s="475"/>
      <x:c r="D3" s="475"/>
      <x:c r="E3" s="475"/>
      <x:c r="F3" s="475"/>
      <x:c r="G3" s="475"/>
      <x:c r="H3" s="475"/>
      <x:c r="I3" s="475"/>
      <x:c r="J3" s="475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6" t="n">
        <x:v>1</x:v>
      </x:c>
      <x:c r="B4" s="484" t="str">
        <x:v>系统基础平台</x:v>
      </x:c>
      <x:c r="C4" s="466" t="n">
        <x:v>1</x:v>
      </x:c>
      <x:c r="D4" s="466" t="str">
        <x:v>套</x:v>
      </x:c>
      <x:c r="E4" s="480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6" t="str">
        <x:v>蘑菇物联</x:v>
      </x:c>
      <x:c r="G4" s="466" t="str">
        <x:v>云智控4.0</x:v>
      </x:c>
      <x:c r="H4" s="489" t="n">
        <x:v>42000</x:v>
      </x:c>
      <x:c r="I4" s="489" t="n">
        <x:f>C4*H4</x:f>
        <x:v>42000</x:v>
      </x:c>
      <x:c r="J4" s="466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6" t="n">
        <x:v>2</x:v>
      </x:c>
      <x:c r="B5" s="485" t="str">
        <x:v>数据点位</x:v>
      </x:c>
      <x:c r="C5" s="466" t="n">
        <x:v>1000</x:v>
      </x:c>
      <x:c r="D5" s="466" t="str">
        <x:v>点</x:v>
      </x:c>
      <x:c r="E5" s="480" t="str">
        <x:v>能源管理系统数据点位授权，支持本次项目范围内计量设备的数据接入、存储、展示和统计分析。</x:v>
      </x:c>
      <x:c r="F5" s="466" t="str">
        <x:v>蘑菇物联</x:v>
      </x:c>
      <x:c r="G5" s="466" t="str">
        <x:v>云智控4.0</x:v>
      </x:c>
      <x:c r="H5" s="489" t="n">
        <x:v>24.5</x:v>
      </x:c>
      <x:c r="I5" s="489" t="n">
        <x:f>C5*H5</x:f>
        <x:v>24500</x:v>
      </x:c>
      <x:c r="J5" s="481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42" customHeight="1">
      <x:c r="A6" s="466" t="n">
        <x:v>3</x:v>
      </x:c>
      <x:c r="B6" s="466" t="str">
        <x:v>单位能耗分析</x:v>
      </x:c>
      <x:c r="C6" s="466" t="n">
        <x:v>1</x:v>
      </x:c>
      <x:c r="D6" s="466" t="str">
        <x:v>套</x:v>
      </x:c>
      <x:c r="E6" s="482" t="str">
        <x:v>支持按产品、车间等维度统计单位产量能耗和单位产值能耗。</x:v>
      </x:c>
      <x:c r="F6" s="466" t="str">
        <x:v>蘑菇物联</x:v>
      </x:c>
      <x:c r="G6" s="466" t="str">
        <x:v>云智控4.0</x:v>
      </x:c>
      <x:c r="H6" s="489" t="n">
        <x:v>28000</x:v>
      </x:c>
      <x:c r="I6" s="489" t="n">
        <x:f>C6*H6</x:f>
        <x:v>28000</x:v>
      </x:c>
      <x:c r="J6" s="466" t="str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42" customHeight="1">
      <x:c r="A7" s="466" t="n">
        <x:v>4</x:v>
      </x:c>
      <x:c r="B7" s="466" t="str">
        <x:v>批次单耗分析</x:v>
      </x:c>
      <x:c r="C7" s="466" t="n">
        <x:v>1</x:v>
      </x:c>
      <x:c r="D7" s="466" t="str">
        <x:v>套</x:v>
      </x:c>
      <x:c r="E7" s="482" t="str">
        <x:v>支持按批次、产品类型统计多种能源消耗和单位产品能耗，批次信息由业务人员维护。</x:v>
      </x:c>
      <x:c r="F7" s="466" t="str">
        <x:v>蘑菇物联</x:v>
      </x:c>
      <x:c r="G7" s="466" t="str">
        <x:v>云智控4.0</x:v>
      </x:c>
      <x:c r="H7" s="489" t="n">
        <x:v>35000</x:v>
      </x:c>
      <x:c r="I7" s="489" t="n">
        <x:f>C7*H7</x:f>
        <x:v>35000</x:v>
      </x:c>
      <x:c r="J7" s="466" t="str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6" t="n">
        <x:v>5</x:v>
      </x:c>
      <x:c r="B8" s="466" t="str">
        <x:v>移动端</x:v>
      </x:c>
      <x:c r="C8" s="466" t="n">
        <x:v>1</x:v>
      </x:c>
      <x:c r="D8" s="466" t="str">
        <x:v>套</x:v>
      </x:c>
      <x:c r="E8" s="482" t="str">
        <x:v>支持移动端实时数据查看和预警信息查看，按本地部署条件配置。</x:v>
      </x:c>
      <x:c r="F8" s="466" t="str">
        <x:v>蘑菇物联</x:v>
      </x:c>
      <x:c r="G8" s="466" t="str">
        <x:v>微信小程序基础版</x:v>
      </x:c>
      <x:c r="H8" s="489" t="n">
        <x:v>14000</x:v>
      </x:c>
      <x:c r="I8" s="489" t="n">
        <x:f>C8*H8</x:f>
        <x:v>14000</x:v>
      </x:c>
      <x:c r="J8" s="466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66" t="n">
        <x:v>6</x:v>
      </x:c>
      <x:c r="B9" s="466" t="str">
        <x:v>增量标准报表</x:v>
      </x:c>
      <x:c r="C9" s="466" t="n">
        <x:v>2</x:v>
      </x:c>
      <x:c r="D9" s="466" t="str">
        <x:v>页</x:v>
      </x:c>
      <x:c r="E9" s="482" t="str">
        <x:v>在标准交付报表之外增加产品单耗月报、车间能耗对比报表。</x:v>
      </x:c>
      <x:c r="F9" s="466" t="str">
        <x:v>蘑菇物联</x:v>
      </x:c>
      <x:c r="G9" s="466" t="str">
        <x:v>云智控4.0</x:v>
      </x:c>
      <x:c r="H9" s="489" t="n">
        <x:v>1200</x:v>
      </x:c>
      <x:c r="I9" s="489" t="n">
        <x:f>C9*H9</x:f>
        <x:v>2400</x:v>
      </x:c>
      <x:c r="J9" s="466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24" customHeight="1">
      <x:c r="A10" s="466" t="str">
        <x:v>小计</x:v>
      </x:c>
      <x:c r="B10" s="466"/>
      <x:c r="C10" s="466"/>
      <x:c r="D10" s="466"/>
      <x:c r="E10" s="481"/>
      <x:c r="F10" s="466"/>
      <x:c r="G10" s="466"/>
      <x:c r="H10" s="489"/>
      <x:c r="I10" s="489" t="n">
        <x:f>SUM(I4:I9)</x:f>
        <x:v>145900</x:v>
      </x:c>
      <x:c r="J10" s="466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24" customHeight="1">
      <x:c r="A11" s="472" t="str">
        <x:v>二</x:v>
      </x:c>
      <x:c r="B11" s="475" t="str">
        <x:v>硬件设备及仪表</x:v>
      </x:c>
      <x:c r="C11" s="475"/>
      <x:c r="D11" s="475"/>
      <x:c r="E11" s="479"/>
      <x:c r="F11" s="475"/>
      <x:c r="G11" s="475"/>
      <x:c r="H11" s="490"/>
      <x:c r="I11" s="490"/>
      <x:c r="J11" s="475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6" t="n">
        <x:v>1</x:v>
      </x:c>
      <x:c r="B12" s="466" t="str">
        <x:v>服务器（含系统部署）</x:v>
      </x:c>
      <x:c r="C12" s="466" t="n">
        <x:v>1</x:v>
      </x:c>
      <x:c r="D12" s="466" t="str">
        <x:v>台</x:v>
      </x:c>
      <x:c r="E12" s="480" t="str">
        <x:v>本地部署服务器由客户提供，配置需满足能源管理系统部署和稳定运行要求。</x:v>
      </x:c>
      <x:c r="F12" s="466" t="str"/>
      <x:c r="G12" s="466" t="str"/>
      <x:c r="H12" s="489" t="str">
        <x:v>/</x:v>
      </x:c>
      <x:c r="I12" s="489" t="str">
        <x:v>客户提供</x:v>
      </x:c>
      <x:c r="J12" s="466" t="str">
        <x:v>客户提供</x:v>
      </x:c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6" t="n">
        <x:v>2</x:v>
      </x:c>
      <x:c r="B13" s="466" t="str">
        <x:v>能管云盒</x:v>
      </x:c>
      <x:c r="C13" s="466" t="n">
        <x:v>14</x:v>
      </x:c>
      <x:c r="D13" s="466" t="str">
        <x:v>个</x:v>
      </x:c>
      <x:c r="E13" s="480" t="str">
        <x:v>用于现场计量设备的数据采集、协议转换和数据上传。</x:v>
      </x:c>
      <x:c r="F13" s="466" t="str">
        <x:v>蘑菇物联</x:v>
      </x:c>
      <x:c r="G13" s="466" t="str">
        <x:v>MAXW4-C1LN</x:v>
      </x:c>
      <x:c r="H13" s="489" t="n">
        <x:v>840</x:v>
      </x:c>
      <x:c r="I13" s="489" t="n">
        <x:f>C13*H13</x:f>
        <x:v>11760</x:v>
      </x:c>
      <x:c r="J13" s="466" t="str"/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6" t="n">
        <x:v>3</x:v>
      </x:c>
      <x:c r="B14" s="466" t="str">
        <x:v>通讯箱</x:v>
      </x:c>
      <x:c r="C14" s="466" t="n">
        <x:v>14</x:v>
      </x:c>
      <x:c r="D14" s="466" t="str">
        <x:v>个</x:v>
      </x:c>
      <x:c r="E14" s="480" t="str">
        <x:v>用于能管云盒、电源及保护器件的现场安装和防护。</x:v>
      </x:c>
      <x:c r="F14" s="466" t="str">
        <x:v>蘑菇物联</x:v>
      </x:c>
      <x:c r="G14" s="466" t="str">
        <x:v>MG-3号电箱</x:v>
      </x:c>
      <x:c r="H14" s="489" t="n">
        <x:v>105</x:v>
      </x:c>
      <x:c r="I14" s="489" t="n">
        <x:f>C14*H14</x:f>
        <x:v>1470</x:v>
      </x:c>
      <x:c r="J14" s="466" t="str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6" t="n">
        <x:v>4</x:v>
      </x:c>
      <x:c r="B15" s="466" t="str">
        <x:v>开关电源</x:v>
      </x:c>
      <x:c r="C15" s="466" t="n">
        <x:v>14</x:v>
      </x:c>
      <x:c r="D15" s="466" t="str">
        <x:v>个</x:v>
      </x:c>
      <x:c r="E15" s="480" t="str">
        <x:v>DC24V导轨式电源，为现场采集设备提供稳定供电。</x:v>
      </x:c>
      <x:c r="F15" s="466" t="str">
        <x:v>金升阳</x:v>
      </x:c>
      <x:c r="G15" s="466" t="str">
        <x:v>LI30-20B24PR2</x:v>
      </x:c>
      <x:c r="H15" s="489" t="n">
        <x:v>73</x:v>
      </x:c>
      <x:c r="I15" s="489" t="n">
        <x:f>C15*H15</x:f>
        <x:v>1022</x:v>
      </x:c>
      <x:c r="J15" s="466" t="str"/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66" t="n">
        <x:v>5</x:v>
      </x:c>
      <x:c r="B16" s="466" t="str">
        <x:v>空气开关</x:v>
      </x:c>
      <x:c r="C16" s="466" t="n">
        <x:v>14</x:v>
      </x:c>
      <x:c r="D16" s="466" t="str">
        <x:v>个</x:v>
      </x:c>
      <x:c r="E16" s="480" t="str">
        <x:v>2P导轨式空气开关，用于通讯箱供电回路保护。</x:v>
      </x:c>
      <x:c r="F16" s="466" t="str">
        <x:v>施耐德</x:v>
      </x:c>
      <x:c r="G16" s="466" t="str">
        <x:v>2P/10A</x:v>
      </x:c>
      <x:c r="H16" s="489" t="n">
        <x:v>54</x:v>
      </x:c>
      <x:c r="I16" s="489" t="n">
        <x:f>C16*H16</x:f>
        <x:v>756</x:v>
      </x:c>
      <x:c r="J16" s="466" t="str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42" customHeight="1">
      <x:c r="A17" s="466" t="n">
        <x:v>6</x:v>
      </x:c>
      <x:c r="B17" s="466" t="str">
        <x:v>屏蔽双绞线</x:v>
      </x:c>
      <x:c r="C17" s="466" t="n">
        <x:v>168</x:v>
      </x:c>
      <x:c r="D17" s="466" t="str">
        <x:v>米</x:v>
      </x:c>
      <x:c r="E17" s="480" t="str">
        <x:v>用于现场计量设备RS485通讯接线。</x:v>
      </x:c>
      <x:c r="F17" s="466" t="str">
        <x:v>国产优质</x:v>
      </x:c>
      <x:c r="G17" s="466" t="str">
        <x:v>RVSP2*1.0</x:v>
      </x:c>
      <x:c r="H17" s="489" t="n">
        <x:v>5.1</x:v>
      </x:c>
      <x:c r="I17" s="489" t="n">
        <x:f>C17*H17</x:f>
        <x:v>856.8</x:v>
      </x:c>
      <x:c r="J17" s="466" t="str">
        <x:v>暂估</x:v>
      </x:c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66" t="n">
        <x:v>7</x:v>
      </x:c>
      <x:c r="B18" s="466" t="str">
        <x:v>电源线</x:v>
      </x:c>
      <x:c r="C18" s="466" t="n">
        <x:v>280</x:v>
      </x:c>
      <x:c r="D18" s="466" t="str">
        <x:v>米</x:v>
      </x:c>
      <x:c r="E18" s="480" t="str">
        <x:v>用于通讯箱、能管云盒及相关设备供电接线。</x:v>
      </x:c>
      <x:c r="F18" s="466" t="str">
        <x:v>国产优质</x:v>
      </x:c>
      <x:c r="G18" s="466" t="str">
        <x:v>RVV3*1.5</x:v>
      </x:c>
      <x:c r="H18" s="489" t="n">
        <x:v>6</x:v>
      </x:c>
      <x:c r="I18" s="489" t="n">
        <x:f>C18*H18</x:f>
        <x:v>1680</x:v>
      </x:c>
      <x:c r="J18" s="466" t="str">
        <x:v>暂估</x:v>
      </x:c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6" t="n">
        <x:v>8</x:v>
      </x:c>
      <x:c r="B19" s="466" t="str">
        <x:v>超五类网线</x:v>
      </x:c>
      <x:c r="C19" s="466" t="n">
        <x:v>1120</x:v>
      </x:c>
      <x:c r="D19" s="466" t="str">
        <x:v>米</x:v>
      </x:c>
      <x:c r="E19" s="480" t="str">
        <x:v>用于本地部署现场网络通讯连接。</x:v>
      </x:c>
      <x:c r="F19" s="466" t="str">
        <x:v>国产优质</x:v>
      </x:c>
      <x:c r="G19" s="466" t="str">
        <x:v>UTP5E</x:v>
      </x:c>
      <x:c r="H19" s="489" t="n">
        <x:v>2.5</x:v>
      </x:c>
      <x:c r="I19" s="489" t="n">
        <x:f>C19*H19</x:f>
        <x:v>2800</x:v>
      </x:c>
      <x:c r="J19" s="466" t="str">
        <x:v>暂估</x:v>
      </x:c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6" t="n">
        <x:v>9</x:v>
      </x:c>
      <x:c r="B20" s="466" t="str">
        <x:v>工业交换机</x:v>
      </x:c>
      <x:c r="C20" s="466" t="n">
        <x:v>2</x:v>
      </x:c>
      <x:c r="D20" s="466" t="str">
        <x:v>个</x:v>
      </x:c>
      <x:c r="E20" s="480" t="str">
        <x:v>8口千兆工业交换机，用于现场采集网络汇聚。</x:v>
      </x:c>
      <x:c r="F20" s="466" t="str">
        <x:v>TP-Link</x:v>
      </x:c>
      <x:c r="G20" s="466" t="str">
        <x:v>TL-SG2008工业级</x:v>
      </x:c>
      <x:c r="H20" s="489" t="n">
        <x:v>585</x:v>
      </x:c>
      <x:c r="I20" s="489" t="n">
        <x:f>C20*H20</x:f>
        <x:v>1170</x:v>
      </x:c>
      <x:c r="J20" s="466" t="str">
        <x:v>按模拟网络分区配置</x:v>
      </x:c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24" customHeight="1">
      <x:c r="A21" s="466" t="str">
        <x:v>小计</x:v>
      </x:c>
      <x:c r="B21" s="466"/>
      <x:c r="C21" s="466"/>
      <x:c r="D21" s="466"/>
      <x:c r="E21" s="466"/>
      <x:c r="F21" s="466"/>
      <x:c r="G21" s="466"/>
      <x:c r="H21" s="489"/>
      <x:c r="I21" s="489" t="n">
        <x:f>SUM(I12:I20)</x:f>
        <x:v>21514.8</x:v>
      </x:c>
      <x:c r="J21" s="466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72" t="str">
        <x:v>三</x:v>
      </x:c>
      <x:c r="B22" s="475" t="str">
        <x:v>施工及调试</x:v>
      </x:c>
      <x:c r="C22" s="475"/>
      <x:c r="D22" s="475"/>
      <x:c r="E22" s="475"/>
      <x:c r="F22" s="475"/>
      <x:c r="G22" s="475"/>
      <x:c r="H22" s="490"/>
      <x:c r="I22" s="490"/>
      <x:c r="J22" s="475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42" customHeight="1">
      <x:c r="A23" s="466" t="n">
        <x:v>1</x:v>
      </x:c>
      <x:c r="B23" s="466" t="str">
        <x:v>通讯箱安装</x:v>
      </x:c>
      <x:c r="C23" s="466" t="n">
        <x:v>14</x:v>
      </x:c>
      <x:c r="D23" s="466" t="str">
        <x:v>台</x:v>
      </x:c>
      <x:c r="E23" s="480" t="str">
        <x:v>通讯箱现场挂墙安装、固定及箱内设备安装。</x:v>
      </x:c>
      <x:c r="F23" s="466" t="str"/>
      <x:c r="G23" s="466" t="str"/>
      <x:c r="H23" s="489" t="n">
        <x:v>350</x:v>
      </x:c>
      <x:c r="I23" s="489" t="n">
        <x:f>C23*H23</x:f>
        <x:v>4900</x:v>
      </x:c>
      <x:c r="J23" s="466" t="str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6" t="n">
        <x:v>2</x:v>
      </x:c>
      <x:c r="B24" s="466" t="str">
        <x:v>集中区域通讯线敷设</x:v>
      </x:c>
      <x:c r="C24" s="466" t="n">
        <x:v>56</x:v>
      </x:c>
      <x:c r="D24" s="466" t="str">
        <x:v>点</x:v>
      </x:c>
      <x:c r="E24" s="480" t="str">
        <x:v>配电房、站房、水表区域等集中区域计量设备通讯线敷设。</x:v>
      </x:c>
      <x:c r="F24" s="466" t="str"/>
      <x:c r="G24" s="466" t="str"/>
      <x:c r="H24" s="489" t="n">
        <x:v>100</x:v>
      </x:c>
      <x:c r="I24" s="489" t="n">
        <x:f>C24*H24</x:f>
        <x:v>5600</x:v>
      </x:c>
      <x:c r="J24" s="466" t="str"/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42" customHeight="1">
      <x:c r="A25" s="466" t="n">
        <x:v>3</x:v>
      </x:c>
      <x:c r="B25" s="466" t="str">
        <x:v>本地部署自组网</x:v>
      </x:c>
      <x:c r="C25" s="466" t="n">
        <x:v>4</x:v>
      </x:c>
      <x:c r="D25" s="466" t="str">
        <x:v>点</x:v>
      </x:c>
      <x:c r="E25" s="480" t="str">
        <x:v>现场采集网络与本地服务器的数据通讯组网。</x:v>
      </x:c>
      <x:c r="F25" s="466" t="str"/>
      <x:c r="G25" s="466" t="str"/>
      <x:c r="H25" s="489" t="n">
        <x:v>1000</x:v>
      </x:c>
      <x:c r="I25" s="489" t="n">
        <x:f>C25*H25</x:f>
        <x:v>4000</x:v>
      </x:c>
      <x:c r="J25" s="466" t="str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42" customHeight="1">
      <x:c r="A26" s="466" t="n">
        <x:v>4</x:v>
      </x:c>
      <x:c r="B26" s="466" t="str">
        <x:v>系统调试及培训</x:v>
      </x:c>
      <x:c r="C26" s="466" t="n">
        <x:v>14</x:v>
      </x:c>
      <x:c r="D26" s="466" t="str">
        <x:v>人天</x:v>
      </x:c>
      <x:c r="E26" s="480" t="str">
        <x:v>含现场设备接入、系统联调、基础培训及交付配合。</x:v>
      </x:c>
      <x:c r="F26" s="466" t="str"/>
      <x:c r="G26" s="466" t="str"/>
      <x:c r="H26" s="489" t="n">
        <x:v>1500</x:v>
      </x:c>
      <x:c r="I26" s="489" t="n">
        <x:f>C26*H26</x:f>
        <x:v>21000</x:v>
      </x:c>
      <x:c r="J26" s="466" t="str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24" customHeight="1">
      <x:c r="A27" s="466" t="str">
        <x:v>小计</x:v>
      </x:c>
      <x:c r="B27" s="466"/>
      <x:c r="C27" s="466"/>
      <x:c r="D27" s="466"/>
      <x:c r="E27" s="466"/>
      <x:c r="F27" s="466"/>
      <x:c r="G27" s="466"/>
      <x:c r="H27" s="489"/>
      <x:c r="I27" s="489" t="n">
        <x:f>SUM(I23:I26)</x:f>
        <x:v>35500</x:v>
      </x:c>
      <x:c r="J27" s="466"/>
      <x:c r="K27" s="417"/>
      <x:c r="L27" s="417"/>
      <x:c r="M27" s="425"/>
    </x:row>
    <x:row r="28" ht="24" customHeight="1">
      <x:c r="A28" s="472" t="str">
        <x:v>四</x:v>
      </x:c>
      <x:c r="B28" s="475" t="str">
        <x:v>税费（软硬件13%，施工调试6%）</x:v>
      </x:c>
      <x:c r="C28" s="475"/>
      <x:c r="D28" s="475"/>
      <x:c r="E28" s="475"/>
      <x:c r="F28" s="475"/>
      <x:c r="G28" s="475"/>
      <x:c r="H28" s="490"/>
      <x:c r="I28" s="490"/>
      <x:c r="J28" s="475"/>
      <x:c r="K28" s="75"/>
      <x:c r="L28" s="75"/>
      <x:c r="M28" s="245"/>
    </x:row>
    <x:row r="29" ht="42" customHeight="1">
      <x:c r="A29" s="466" t="n">
        <x:v>1</x:v>
      </x:c>
      <x:c r="B29" s="466" t="str">
        <x:v>已含增值税</x:v>
      </x:c>
      <x:c r="C29" s="466" t="n">
        <x:v>1</x:v>
      </x:c>
      <x:c r="D29" s="466" t="str">
        <x:v>项</x:v>
      </x:c>
      <x:c r="E29" s="480" t="str">
        <x:v>软件及硬件价格已含13%增值税，施工及调试价格已含6%增值税，本项仅列示税额，不重复计入总价。</x:v>
      </x:c>
      <x:c r="F29" s="466" t="str"/>
      <x:c r="G29" s="466" t="str"/>
      <x:c r="H29" s="489" t="str">
        <x:v>/</x:v>
      </x:c>
      <x:c r="I29" s="489" t="n">
        <x:f>(I10+I21)*13/113+I27*6/106</x:f>
        <x:v>21269.543696777422</x:v>
      </x:c>
      <x:c r="J29" s="466" t="str">
        <x:v>已含，不另计</x:v>
      </x:c>
      <x:c r="K29" s="75"/>
      <x:c r="L29" s="75"/>
      <x:c r="M29" s="245"/>
    </x:row>
    <x:row r="30" ht="24" customHeight="1">
      <x:c r="A30" s="466" t="str">
        <x:v>税额小计（已含）</x:v>
      </x:c>
      <x:c r="B30" s="466"/>
      <x:c r="C30" s="466"/>
      <x:c r="D30" s="466"/>
      <x:c r="E30" s="466"/>
      <x:c r="F30" s="466"/>
      <x:c r="G30" s="466"/>
      <x:c r="H30" s="489"/>
      <x:c r="I30" s="489" t="n">
        <x:f>I29</x:f>
        <x:v>21269.543696777422</x:v>
      </x:c>
      <x:c r="J30" s="466"/>
      <x:c r="K30" s="418"/>
      <x:c r="L30" s="418"/>
      <x:c r="M30" s="281"/>
    </x:row>
    <x:row r="31">
      <x:c r="A31" s="488" t="str">
        <x:v>总计</x:v>
      </x:c>
      <x:c r="B31" s="488"/>
      <x:c r="C31" s="488"/>
      <x:c r="D31" s="488"/>
      <x:c r="E31" s="488"/>
      <x:c r="F31" s="488"/>
      <x:c r="G31" s="488"/>
      <x:c r="H31" s="491"/>
      <x:c r="I31" s="492" t="n">
        <x:f>I10+I21+I27</x:f>
        <x:v>202914.8</x:v>
      </x:c>
      <x:c r="J31" s="487"/>
    </x:row>
    <x:row r="32" ht="90" customHeight="1">
      <x:c r="A32" s="480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3、本地部署服务器由客户提供；硬件质保期按合同约定执行。
4、标注“暂估”的线缆数量按当前项目条件估算，最终以双方确认的现场实施范围为准。</x:v>
      </x:c>
      <x:c r="B32" s="480"/>
      <x:c r="C32" s="480"/>
      <x:c r="D32" s="480"/>
      <x:c r="E32" s="480"/>
      <x:c r="F32" s="480"/>
      <x:c r="G32" s="480"/>
      <x:c r="H32" s="493"/>
      <x:c r="I32" s="493"/>
      <x:c r="J32" s="480"/>
    </x:row>
  </x:sheetData>
  <x:mergeCells>
    <x:mergeCell ref="A1:J1"/>
    <x:mergeCell ref="B3:J3"/>
    <x:mergeCell ref="A10:B10"/>
    <x:mergeCell ref="C10:H10"/>
    <x:mergeCell ref="B11:J11"/>
    <x:mergeCell ref="A21:B21"/>
    <x:mergeCell ref="C21:H21"/>
    <x:mergeCell ref="B22:J22"/>
    <x:mergeCell ref="A27:B27"/>
    <x:mergeCell ref="C27:H27"/>
    <x:mergeCell ref="B28:J28"/>
    <x:mergeCell ref="A30:B30"/>
    <x:mergeCell ref="C30:H30"/>
    <x:mergeCell ref="A31:H31"/>
    <x:mergeCell ref="A32:J32"/>
  </x:mergeCells>
  <x:pageMargins left="0.7" right="0.7" top="0.75" bottom="0.75" header="0.3" footer="0.3"/>
</x:worksheet>
</file>