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74c2341d3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模板" sheetId="2" r:id="R2a659006f12f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;[Red]\-0\ "/>
    <x:numFmt numFmtId="177" formatCode="0_ "/>
    <x:numFmt numFmtId="178" formatCode="0_);[Red]\(0\)"/>
    <x:numFmt numFmtId="179" formatCode="#,##0.00_);[Red]\(#,##0.00\)"/>
    <x:numFmt numFmtId="180" formatCode="_ * #,##0_ ;_ * \-#,##0_ ;_ * &quot;-&quot;??_ ;_ @_ "/>
    <x:numFmt numFmtId="181" formatCode="_-* #,##0.0_-;\-* #,##0.0_-;_-* &quot;-&quot;??_-;_-@_-"/>
    <x:numFmt numFmtId="182" formatCode="0.00_ "/>
    <x:numFmt numFmtId="183" formatCode="_-[$$]* #,##0.00_ ;_-[$$]* \-#,##0.00\ ;_-[$$]* &quot;-&quot;??_ ;_-@_ "/>
    <x:numFmt numFmtId="200" formatCode="#,##0.00"/>
  </x:numFmts>
  <x:fonts count="136">
    <x:font>
      <x:sz val="12"/>
      <x:color theme="1"/>
      <x:name val="等线"/>
    </x:font>
    <x:font>
      <x:sz val="12"/>
      <x:color rgb="FF000000"/>
      <x:name val="Times New Roman"/>
    </x:font>
    <x:font>
      <x:sz val="10"/>
      <x:color rgb="FF000000"/>
      <x:name val="Times New Roman"/>
    </x:font>
    <x:font>
      <x:b/>
      <x:sz val="16"/>
      <x:color rgb="FF000000"/>
      <x:name val="微软雅黑"/>
    </x:font>
    <x:font>
      <x:b/>
      <x:sz val="16"/>
      <x:color rgb="FF000000"/>
      <x:name val="Times New Roman"/>
    </x:font>
    <x:font>
      <x:b/>
      <x:sz val="11"/>
      <x:color rgb="FF000000"/>
      <x:name val="微软雅黑"/>
    </x:font>
    <x:font>
      <x:b/>
      <x:sz val="10"/>
      <x:color rgb="FF000000"/>
      <x:name val="Times New Roman"/>
    </x:font>
    <x:font>
      <x:sz val="12"/>
      <x:color rgb="FF000000"/>
      <x:name val="等线"/>
    </x:font>
    <x:font>
      <x:sz val="11"/>
      <x:color rgb="FF000000"/>
      <x:name val="Times New Roman"/>
    </x:font>
    <x:font>
      <x:sz val="10"/>
      <x:color rgb="FF000000"/>
      <x:name val="微软雅黑"/>
    </x:font>
    <x:font>
      <x:sz val="10"/>
      <x:color rgb="FF000000"/>
      <x:name val="宋体"/>
    </x:font>
    <x:font>
      <x:b/>
      <x:sz val="10"/>
      <x:color rgb="FF000000"/>
      <x:name val="微软雅黑"/>
    </x:font>
    <x:font>
      <x:sz val="10"/>
      <x:color rgb="FF0070C0"/>
      <x:name val="微软雅黑"/>
    </x:font>
    <x:font>
      <x:b/>
      <x:sz val="10"/>
      <x:color rgb="FF000000"/>
      <x:name val="宋体"/>
    </x:font>
    <x:font>
      <x:b/>
      <x:sz val="11"/>
      <x:color rgb="FF000000"/>
      <x:name val="Times New Roman"/>
    </x:font>
    <x:font>
      <x:b/>
      <x:sz val="18"/>
      <x:color rgb="FF000000"/>
      <x:name val="微软雅黑"/>
    </x:font>
    <x:font>
      <x:b/>
      <x:sz val="18"/>
      <x:color rgb="FF000000"/>
      <x:name val="Times New Roman"/>
    </x:font>
    <x:font>
      <x:sz val="10"/>
      <x:color rgb="FFFF0000"/>
      <x:name val="宋体"/>
    </x:font>
    <x:font>
      <x:b/>
      <x:sz val="11"/>
      <x:color rgb="FFFFFFFF"/>
      <x:name val="微软雅黑"/>
    </x:font>
    <x:font>
      <x:b/>
      <x:sz val="11"/>
      <x:color rgb="FF000000"/>
      <x:name val="宋体"/>
    </x:font>
    <x:font>
      <x:sz val="12"/>
      <x:color rgb="FF002060"/>
      <x:name val="Times New Roman"/>
    </x:font>
    <x:font>
      <x:sz val="12"/>
      <x:color rgb="FF1F3864"/>
      <x:name val="Times New Roman"/>
    </x:font>
    <x:font>
      <x:b/>
      <x:sz val="20"/>
      <x:color rgb="FF002060"/>
      <x:name val="Times New Roman"/>
    </x:font>
    <x:font>
      <x:b/>
      <x:sz val="12"/>
      <x:color rgb="FF002060"/>
      <x:name val="Times New Roman"/>
    </x:font>
    <x:font>
      <x:sz val="10"/>
      <x:color rgb="FF002060"/>
      <x:name val="Times New Roman"/>
    </x:font>
    <x:font>
      <x:sz val="10"/>
      <x:color rgb="FF002060"/>
      <x:name val="宋体"/>
    </x:font>
    <x:font>
      <x:sz val="11"/>
      <x:color rgb="FF002060"/>
      <x:name val="Times New Roman"/>
    </x:font>
    <x:font>
      <x:sz val="9"/>
      <x:color rgb="FF002060"/>
      <x:name val="Times New Roman"/>
    </x:font>
    <x:font>
      <x:b/>
      <x:sz val="10"/>
      <x:color rgb="FF002060"/>
      <x:name val="Times New Roman"/>
    </x:font>
    <x:font>
      <x:sz val="10"/>
      <x:name val="等线"/>
    </x:font>
    <x:font>
      <x:b/>
      <x:sz val="20"/>
      <x:color rgb="FF1F3864"/>
      <x:name val="Times New Roman"/>
    </x:font>
    <x:font>
      <x:b/>
      <x:sz val="11"/>
      <x:color rgb="FF002060"/>
      <x:name val="Times New Roman"/>
    </x:font>
    <x:font>
      <x:b/>
      <x:sz val="12"/>
      <x:color rgb="FF1F3864"/>
      <x:name val="Times New Roman"/>
    </x:font>
    <x:font>
      <x:sz val="10"/>
      <x:color rgb="FF1F3864"/>
      <x:name val="Times New Roman"/>
    </x:font>
    <x:font>
      <x:b/>
      <x:sz val="10"/>
      <x:color rgb="FF002060"/>
      <x:name val="宋体"/>
    </x:font>
    <x:font>
      <x:b/>
      <x:sz val="10"/>
      <x:color rgb="FF1F3864"/>
      <x:name val="Times New Roman"/>
    </x:font>
    <x:font>
      <x:sz val="10"/>
      <x:color rgb="FFC00000"/>
      <x:name val="Times New Roman"/>
    </x:font>
    <x:font>
      <x:b/>
      <x:sz val="11"/>
      <x:color rgb="FF1F3864"/>
      <x:name val="Times New Roman"/>
    </x:font>
    <x:font>
      <x:sz val="11"/>
      <x:color rgb="FF1F3864"/>
      <x:name val="Times New Roman"/>
    </x:font>
    <x:font>
      <x:sz val="9"/>
      <x:color rgb="FFC00000"/>
      <x:name val="宋体"/>
    </x:font>
    <x:font>
      <x:sz val="9"/>
      <x:color rgb="FFFF0000"/>
      <x:name val="Times New Roman"/>
    </x:font>
    <x:font>
      <x:sz val="9"/>
      <x:color rgb="FF1F3864"/>
      <x:name val="Times New Roman"/>
    </x:font>
    <x:font>
      <x:b/>
      <x:sz val="12"/>
      <x:color rgb="FF000000"/>
      <x:name val="Times New Roman"/>
    </x:font>
    <x:font>
      <x:sz val="11"/>
      <x:color rgb="FF000000"/>
      <x:name val="微软雅黑"/>
    </x:font>
    <x:font>
      <x:b/>
      <x:sz val="11"/>
      <x:color rgb="FFFFFFFF"/>
      <x:name val="Times New Roman"/>
    </x:font>
    <x:font>
      <x:sz val="18"/>
      <x:color rgb="FF000000"/>
      <x:name val="Times New Roman"/>
    </x:font>
    <x:font>
      <x:sz val="11"/>
      <x:color rgb="FF000000"/>
      <x:name val="宋体"/>
    </x:font>
    <x:font>
      <x:b/>
      <x:sz val="10"/>
      <x:color rgb="FFFF0000"/>
      <x:name val="宋体"/>
    </x:font>
    <x:font>
      <x:sz val="12"/>
      <x:color rgb="FF000000"/>
      <x:name val="宋体"/>
    </x:font>
    <x:font>
      <x:sz val="10"/>
      <x:color rgb="FF1F3864"/>
      <x:name val="宋体"/>
    </x:font>
    <x:font>
      <x:b/>
      <x:sz val="10"/>
      <x:color rgb="FF1F3864"/>
      <x:name val="宋体"/>
    </x:font>
    <x:font>
      <x:sz val="10"/>
      <x:color rgb="FFFF0000"/>
      <x:name val="Times New Roman"/>
    </x:font>
    <x:font>
      <x:sz val="12"/>
      <x:color rgb="FF000000"/>
      <x:name val="微软雅黑"/>
    </x:font>
    <x:font>
      <x:sz val="10"/>
      <x:color rgb="FF000000"/>
      <x:name val="等线"/>
    </x:font>
    <x:font>
      <x:b/>
      <x:sz val="20"/>
      <x:color rgb="FF000000"/>
      <x:name val="Times New Roman"/>
    </x:font>
    <x:font>
      <x:b/>
      <x:sz val="12"/>
      <x:color rgb="FF002060"/>
      <x:name val="微软雅黑"/>
    </x:font>
    <x:font>
      <x:b/>
      <x:sz val="11"/>
      <x:color rgb="FF002060"/>
      <x:name val="微软雅黑"/>
    </x:font>
    <x:font>
      <x:sz val="9"/>
      <x:color rgb="FF000000"/>
      <x:name val="微软雅黑"/>
    </x:font>
    <x:font>
      <x:sz val="9"/>
      <x:color rgb="FF000000"/>
      <x:name val="Times New Roman"/>
    </x:font>
    <x:font>
      <x:b/>
      <x:sz val="18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10"/>
      <x:name val="Times New Roman"/>
    </x:font>
    <x:font>
      <x:b/>
      <x:sz val="10"/>
      <x:color rgb="FFEA3324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sz val="10"/>
      <x:color rgb="FFEA3324"/>
      <x:name val="Times New Roman"/>
    </x:font>
    <x:font>
      <x:sz val="11"/>
      <x:color rgb="FFEA3324"/>
      <x:name val="Times New Roman"/>
    </x:font>
    <x:font>
      <x:b/>
      <x:sz val="11"/>
      <x:name val="default"/>
    </x:font>
    <x:font>
      <x:sz val="11"/>
      <x:name val="default"/>
    </x:font>
    <x:font>
      <x:sz val="11"/>
      <x:color rgb="FF000000"/>
      <x:name val="default"/>
    </x:font>
    <x:font>
      <x:sz val="11"/>
      <x:name val="微软雅黑"/>
    </x:font>
    <x:font>
      <x:sz val="11"/>
      <x:color rgb="FFFFFFFF"/>
      <x:name val="default"/>
    </x:font>
    <x:font>
      <x:sz val="11"/>
      <x:color rgb="FFFE0300"/>
      <x:name val="default"/>
    </x:font>
    <x:font>
      <x:sz val="10"/>
      <x:color rgb="FFFE0300"/>
      <x:name val="等线"/>
    </x:font>
    <x:font>
      <x:sz val="10"/>
      <x:color rgb="FF000000"/>
      <x:name val="Microsoft YaHei"/>
    </x:font>
    <x:font>
      <x:sz val="11"/>
      <x:name val="等线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6"/>
      <x:name val="等线"/>
    </x:font>
    <x:font>
      <x:sz val="12"/>
      <x:name val="等线"/>
    </x:font>
    <x:font>
      <x:b/>
      <x:sz val="10"/>
      <x:color rgb="FF0071C1"/>
      <x:name val="等线"/>
    </x:font>
    <x:font>
      <x:sz val="10"/>
      <x:color rgb="FF0071C1"/>
      <x:name val="等线"/>
    </x:font>
    <x:font>
      <x:b/>
      <x:sz val="10"/>
      <x:name val="等线"/>
    </x:font>
    <x:font>
      <x:b/>
      <x:sz val="12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9"/>
      <x:color rgb="FF002060"/>
      <x:name val="微软雅黑"/>
    </x:font>
    <x:font>
      <x:sz val="10"/>
      <x:name val="宋体"/>
    </x:font>
    <x:font>
      <x:sz val="11"/>
      <x:color rgb="FF002060"/>
      <x:name val="微软雅黑"/>
    </x:font>
    <x:font>
      <x:sz val="9"/>
      <x:color rgb="FF002060"/>
      <x:name val="宋体"/>
    </x:font>
    <x:font>
      <x:sz val="10"/>
      <x:color rgb="FF1F3864"/>
      <x:name val="Calibri"/>
    </x:font>
    <x:font>
      <x:sz val="10"/>
      <x:color rgb="FF002060"/>
      <x:name val="微软雅黑"/>
    </x:font>
    <x:font>
      <x:sz val="11"/>
      <x:color rgb="FF002060"/>
      <x:name val="宋体"/>
    </x:font>
    <x:font>
      <x:sz val="9"/>
      <x:color rgb="FF1F3864"/>
      <x:name val="微软雅黑"/>
    </x:font>
    <x:font>
      <x:b/>
      <x:sz val="9"/>
      <x:color rgb="FF000000"/>
      <x:name val="微软雅黑"/>
    </x:font>
    <x:font>
      <x:sz val="10"/>
      <x:color rgb="FFC00000"/>
      <x:name val="宋体"/>
    </x:font>
    <x:font>
      <x:b/>
      <x:sz val="20"/>
      <x:color rgb="FF002060"/>
      <x:name val="微软雅黑"/>
    </x:font>
    <x:font>
      <x:sz val="10"/>
      <x:color rgb="FF1F3864"/>
      <x:name val="Segoe UI Symbol"/>
    </x:font>
    <x:font>
      <x:b/>
      <x:sz val="16"/>
      <x:color rgb="FF000000"/>
      <x:name val="微软雅黑"/>
    </x:font>
    <x:font>
      <x:b/>
      <x:sz val="11"/>
      <x:color rgb="FF002060"/>
      <x:name val="Times New Roman"/>
    </x:font>
    <x:font>
      <x:b/>
      <x:sz val="11"/>
      <x:color rgb="FF002060"/>
      <x:name val="宋体"/>
    </x:font>
    <x:font>
      <x:b/>
      <x:sz val="11"/>
      <x:color rgb="FFFF0000"/>
      <x:name val="Times New Roman"/>
    </x:font>
    <x:font>
      <x:b/>
      <x:sz val="11"/>
      <x:color rgb="FFFF0000"/>
      <x:name val="宋体"/>
    </x:font>
    <x:font>
      <x:sz val="9"/>
      <x:color rgb="FF1F3864"/>
      <x:name val="宋体"/>
    </x:font>
    <x:font>
      <x:b/>
      <x:sz val="11"/>
      <x:color rgb="FF002060"/>
      <x:name val="宋体"/>
    </x:font>
    <x:font>
      <x:sz val="9"/>
      <x:color rgb="FFFE0300"/>
      <x:name val="微软雅黑"/>
    </x:font>
    <x:font>
      <x:b/>
      <x:sz val="12"/>
      <x:color rgb="FF1F3864"/>
      <x:name val="微软雅黑"/>
    </x:font>
    <x:font>
      <x:b/>
      <x:sz val="11"/>
      <x:color rgb="FFFF0000"/>
      <x:name val="微软雅黑"/>
    </x:font>
    <x:font>
      <x:sz val="12"/>
      <x:color rgb="FF1F3864"/>
      <x:name val="微软雅黑"/>
    </x:font>
    <x:font>
      <x:b/>
      <x:sz val="10"/>
      <x:color rgb="FFFF0000"/>
      <x:name val="微软雅黑"/>
    </x:font>
    <x:font>
      <x:b/>
      <x:sz val="10"/>
      <x:color rgb="FFFF0000"/>
      <x:name val="Times New Roman"/>
    </x:font>
    <x:font>
      <x:sz val="9"/>
      <x:color rgb="FFC00000"/>
      <x:name val="Times New Roman"/>
    </x:font>
    <x:font>
      <x:sz val="11"/>
      <x:color theme="10"/>
      <x:name val="宋体"/>
    </x:font>
    <x:font>
      <x:b/>
      <x:sz val="12"/>
      <x:color rgb="FF002060"/>
      <x:name val="宋体"/>
    </x:font>
    <x:font>
      <x:b/>
      <x:sz val="20"/>
      <x:color rgb="FF000000"/>
      <x:name val="微软雅黑"/>
    </x:font>
    <x:font>
      <x:sz val="10"/>
      <x:color rgb="FF000000"/>
      <x:name val="宋体"/>
    </x:font>
    <x:font>
      <x:b/>
      <x:sz val="18"/>
      <x:color rgb="FF000000"/>
      <x:name val="宋体"/>
    </x:font>
  </x:fonts>
  <x:fills count="52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DEEAF6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CC102"/>
      </x:patternFill>
    </x:fill>
    <x:fill>
      <x:patternFill patternType="solid">
        <x:fgColor rgb="FFDAEEF3"/>
      </x:patternFill>
    </x:fill>
    <x:fill>
      <x:patternFill patternType="solid">
        <x:fgColor rgb="FFDFF1FF"/>
      </x:patternFill>
    </x:fill>
    <x:fill>
      <x:patternFill patternType="solid">
        <x:fgColor rgb="FFF9E5D7"/>
      </x:patternFill>
    </x:fill>
    <x:fill>
      <x:patternFill patternType="solid">
        <x:fgColor rgb="FFBFBFBF"/>
      </x:patternFill>
    </x:fill>
    <x:fill>
      <x:patternFill patternType="solid">
        <x:fgColor rgb="FFDFEBF6"/>
      </x:patternFill>
    </x:fill>
    <x:fill>
      <x:patternFill patternType="solid">
        <x:fgColor rgb="FFE4EDDB"/>
      </x:patternFill>
    </x:fill>
    <x:fill>
      <x:patternFill patternType="solid">
        <x:fgColor rgb="FFFFF3CE"/>
      </x:patternFill>
    </x:fill>
    <x:fill>
      <x:patternFill patternType="solid">
        <x:fgColor rgb="FFE8E6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85" fillId="0" borderId="0" applyFont="0" applyFill="0" applyBorder="0" applyAlignment="0" applyProtection="0">
      <x:alignment vertical="center"/>
    </x:xf>
    <x:xf numFmtId="44" fontId="85" fillId="0" borderId="0" applyFont="0" applyFill="0" applyBorder="0" applyAlignment="0" applyProtection="0">
      <x:alignment vertical="center"/>
    </x:xf>
    <x:xf numFmtId="9" fontId="85" fillId="0" borderId="0" applyFont="0" applyFill="0" applyBorder="0" applyAlignment="0" applyProtection="0">
      <x:alignment vertical="center"/>
    </x:xf>
    <x:xf numFmtId="41" fontId="85" fillId="0" borderId="0" applyFont="0" applyFill="0" applyBorder="0" applyAlignment="0" applyProtection="0">
      <x:alignment vertical="center"/>
    </x:xf>
    <x:xf numFmtId="42" fontId="85" fillId="0" borderId="0" applyFont="0" applyFill="0" applyBorder="0" applyAlignment="0" applyProtection="0">
      <x:alignment vertical="center"/>
    </x:xf>
    <x:xf numFmtId="0" fontId="86" fillId="0" borderId="0" applyNumberFormat="0" applyFill="0" applyBorder="0" applyAlignment="0" applyProtection="0">
      <x:alignment vertical="center"/>
    </x:xf>
    <x:xf numFmtId="0" fontId="87" fillId="0" borderId="0" applyNumberFormat="0" applyFill="0" applyBorder="0" applyAlignment="0" applyProtection="0">
      <x:alignment vertical="center"/>
    </x:xf>
    <x:xf numFmtId="0" fontId="85" fillId="17" borderId="16" applyNumberFormat="0" applyFont="0" applyAlignment="0" applyProtection="0">
      <x:alignment vertical="center"/>
    </x:xf>
    <x:xf numFmtId="0" fontId="88" fillId="0" borderId="0" applyNumberFormat="0" applyFill="0" applyBorder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0" borderId="0" applyNumberFormat="0" applyFill="0" applyBorder="0" applyAlignment="0" applyProtection="0">
      <x:alignment vertical="center"/>
    </x:xf>
    <x:xf numFmtId="0" fontId="91" fillId="0" borderId="17" applyNumberFormat="0" applyFill="0" applyAlignment="0" applyProtection="0">
      <x:alignment vertical="center"/>
    </x:xf>
    <x:xf numFmtId="0" fontId="92" fillId="0" borderId="17" applyNumberFormat="0" applyFill="0" applyAlignment="0" applyProtection="0">
      <x:alignment vertical="center"/>
    </x:xf>
    <x:xf numFmtId="0" fontId="93" fillId="0" borderId="18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18" borderId="19" applyNumberFormat="0" applyAlignment="0" applyProtection="0">
      <x:alignment vertical="center"/>
    </x:xf>
    <x:xf numFmtId="0" fontId="95" fillId="19" borderId="20" applyNumberFormat="0" applyAlignment="0" applyProtection="0">
      <x:alignment vertical="center"/>
    </x:xf>
    <x:xf numFmtId="0" fontId="96" fillId="19" borderId="19" applyNumberFormat="0" applyAlignment="0" applyProtection="0">
      <x:alignment vertical="center"/>
    </x:xf>
    <x:xf numFmtId="0" fontId="97" fillId="20" borderId="21" applyNumberFormat="0" applyAlignment="0" applyProtection="0">
      <x:alignment vertical="center"/>
    </x:xf>
    <x:xf numFmtId="0" fontId="98" fillId="0" borderId="22" applyNumberFormat="0" applyFill="0" applyAlignment="0" applyProtection="0">
      <x:alignment vertical="center"/>
    </x:xf>
    <x:xf numFmtId="0" fontId="99" fillId="0" borderId="23" applyNumberFormat="0" applyFill="0" applyAlignment="0" applyProtection="0">
      <x:alignment vertical="center"/>
    </x:xf>
    <x:xf numFmtId="0" fontId="100" fillId="21" borderId="0" applyNumberFormat="0" applyBorder="0" applyAlignment="0" applyProtection="0">
      <x:alignment vertical="center"/>
    </x:xf>
    <x:xf numFmtId="0" fontId="101" fillId="22" borderId="0" applyNumberFormat="0" applyBorder="0" applyAlignment="0" applyProtection="0">
      <x:alignment vertical="center"/>
    </x:xf>
    <x:xf numFmtId="0" fontId="102" fillId="23" borderId="0" applyNumberFormat="0" applyBorder="0" applyAlignment="0" applyProtection="0">
      <x:alignment vertical="center"/>
    </x:xf>
    <x:xf numFmtId="0" fontId="103" fillId="24" borderId="0" applyNumberFormat="0" applyBorder="0" applyAlignment="0" applyProtection="0">
      <x:alignment vertical="center"/>
    </x:xf>
    <x:xf numFmtId="0" fontId="104" fillId="25" borderId="0" applyNumberFormat="0" applyBorder="0" applyAlignment="0" applyProtection="0">
      <x:alignment vertical="center"/>
    </x:xf>
    <x:xf numFmtId="0" fontId="104" fillId="26" borderId="0" applyNumberFormat="0" applyBorder="0" applyAlignment="0" applyProtection="0">
      <x:alignment vertical="center"/>
    </x:xf>
    <x:xf numFmtId="0" fontId="103" fillId="27" borderId="0" applyNumberFormat="0" applyBorder="0" applyAlignment="0" applyProtection="0">
      <x:alignment vertical="center"/>
    </x:xf>
    <x:xf numFmtId="0" fontId="103" fillId="28" borderId="0" applyNumberFormat="0" applyBorder="0" applyAlignment="0" applyProtection="0">
      <x:alignment vertical="center"/>
    </x:xf>
    <x:xf numFmtId="0" fontId="104" fillId="29" borderId="0" applyNumberFormat="0" applyBorder="0" applyAlignment="0" applyProtection="0">
      <x:alignment vertical="center"/>
    </x:xf>
    <x:xf numFmtId="0" fontId="104" fillId="30" borderId="0" applyNumberFormat="0" applyBorder="0" applyAlignment="0" applyProtection="0">
      <x:alignment vertical="center"/>
    </x:xf>
    <x:xf numFmtId="0" fontId="103" fillId="31" borderId="0" applyNumberFormat="0" applyBorder="0" applyAlignment="0" applyProtection="0">
      <x:alignment vertical="center"/>
    </x:xf>
    <x:xf numFmtId="0" fontId="103" fillId="32" borderId="0" applyNumberFormat="0" applyBorder="0" applyAlignment="0" applyProtection="0">
      <x:alignment vertical="center"/>
    </x:xf>
    <x:xf numFmtId="0" fontId="104" fillId="33" borderId="0" applyNumberFormat="0" applyBorder="0" applyAlignment="0" applyProtection="0">
      <x:alignment vertical="center"/>
    </x:xf>
    <x:xf numFmtId="0" fontId="104" fillId="34" borderId="0" applyNumberFormat="0" applyBorder="0" applyAlignment="0" applyProtection="0">
      <x:alignment vertical="center"/>
    </x:xf>
    <x:xf numFmtId="0" fontId="103" fillId="35" borderId="0" applyNumberFormat="0" applyBorder="0" applyAlignment="0" applyProtection="0">
      <x:alignment vertical="center"/>
    </x:xf>
    <x:xf numFmtId="0" fontId="103" fillId="36" borderId="0" applyNumberFormat="0" applyBorder="0" applyAlignment="0" applyProtection="0">
      <x:alignment vertical="center"/>
    </x:xf>
    <x:xf numFmtId="0" fontId="104" fillId="37" borderId="0" applyNumberFormat="0" applyBorder="0" applyAlignment="0" applyProtection="0">
      <x:alignment vertical="center"/>
    </x:xf>
    <x:xf numFmtId="0" fontId="104" fillId="38" borderId="0" applyNumberFormat="0" applyBorder="0" applyAlignment="0" applyProtection="0">
      <x:alignment vertical="center"/>
    </x:xf>
    <x:xf numFmtId="0" fontId="103" fillId="39" borderId="0" applyNumberFormat="0" applyBorder="0" applyAlignment="0" applyProtection="0">
      <x:alignment vertical="center"/>
    </x:xf>
    <x:xf numFmtId="0" fontId="103" fillId="40" borderId="0" applyNumberFormat="0" applyBorder="0" applyAlignment="0" applyProtection="0">
      <x:alignment vertical="center"/>
    </x:xf>
    <x:xf numFmtId="0" fontId="104" fillId="41" borderId="0" applyNumberFormat="0" applyBorder="0" applyAlignment="0" applyProtection="0">
      <x:alignment vertical="center"/>
    </x:xf>
    <x:xf numFmtId="0" fontId="104" fillId="42" borderId="0" applyNumberFormat="0" applyBorder="0" applyAlignment="0" applyProtection="0">
      <x:alignment vertical="center"/>
    </x:xf>
    <x:xf numFmtId="0" fontId="103" fillId="43" borderId="0" applyNumberFormat="0" applyBorder="0" applyAlignment="0" applyProtection="0">
      <x:alignment vertical="center"/>
    </x:xf>
    <x:xf numFmtId="0" fontId="103" fillId="44" borderId="0" applyNumberFormat="0" applyBorder="0" applyAlignment="0" applyProtection="0">
      <x:alignment vertical="center"/>
    </x:xf>
    <x:xf numFmtId="0" fontId="104" fillId="45" borderId="0" applyNumberFormat="0" applyBorder="0" applyAlignment="0" applyProtection="0">
      <x:alignment vertical="center"/>
    </x:xf>
    <x:xf numFmtId="0" fontId="104" fillId="46" borderId="0" applyNumberFormat="0" applyBorder="0" applyAlignment="0" applyProtection="0">
      <x:alignment vertical="center"/>
    </x:xf>
    <x:xf numFmtId="0" fontId="103" fillId="47" borderId="0" applyNumberFormat="0" applyBorder="0" applyAlignment="0" applyProtection="0">
      <x:alignment vertical="center"/>
    </x:xf>
  </x:cellStyleXfs>
  <x:cellXfs count="488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 applyAlignment="1">
      <x:alignment horizontal="center"/>
    </x:xf>
    <x:xf numFmtId="176" fontId="8" fillId="0" borderId="0" xfId="0" applyNumberFormat="1" applyFont="1" applyAlignment="1">
      <x:alignment horizontal="center"/>
    </x:xf>
    <x:xf numFmtId="0" fontId="8" fillId="0" borderId="0" xfId="0" applyFont="1" applyAlignment="1"/>
    <x:xf numFmtId="0" fontId="2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2" fillId="0" borderId="1" xfId="0" applyFont="1" applyBorder="1" applyAlignment="1">
      <x:alignment horizontal="center" vertical="center"/>
    </x:xf>
    <x:xf numFmtId="177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7" fontId="2" fillId="3" borderId="1" xfId="0" applyNumberFormat="1" applyFont="1" applyFill="1" applyBorder="1" applyAlignment="1">
      <x:alignment horizontal="center" vertical="center"/>
    </x:xf>
    <x:xf numFmtId="176" fontId="8" fillId="3" borderId="0" xfId="0" applyNumberFormat="1" applyFont="1" applyFill="1" applyAlignment="1">
      <x:alignment horizontal="center"/>
    </x:xf>
    <x:xf numFmtId="178" fontId="14" fillId="3" borderId="0" xfId="0" applyNumberFormat="1" applyFont="1" applyFill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3" fillId="2" borderId="5" xfId="0" applyFont="1" applyFill="1" applyBorder="1" applyAlignment="1">
      <x:alignment horizontal="center" vertical="center" wrapText="1"/>
    </x:xf>
    <x:xf numFmtId="0" fontId="13" fillId="2" borderId="6" xfId="0" applyFont="1" applyFill="1" applyBorder="1" applyAlignment="1">
      <x:alignment horizontal="center" vertical="center" wrapText="1"/>
    </x:xf>
    <x:xf numFmtId="0" fontId="13" fillId="2" borderId="7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 wrapText="1"/>
    </x:xf>
    <x:xf numFmtId="179" fontId="10" fillId="0" borderId="1" xfId="0" applyNumberFormat="1" applyFont="1" applyBorder="1" applyAlignment="1">
      <x:alignment horizontal="right" vertical="center"/>
    </x:xf>
    <x:xf numFmtId="179" fontId="10" fillId="0" borderId="1" xfId="0" applyNumberFormat="1" applyFont="1" applyBorder="1">
      <x:alignment vertical="center"/>
    </x:xf>
    <x:xf numFmtId="0" fontId="10" fillId="0" borderId="1" xfId="0" applyFont="1" applyBorder="1">
      <x:alignment vertical="center"/>
    </x:xf>
    <x:xf numFmtId="0" fontId="17" fillId="0" borderId="2" xfId="0" applyFont="1" applyBorder="1" applyAlignment="1">
      <x:alignment horizontal="left" vertical="center"/>
    </x:xf>
    <x:xf numFmtId="0" fontId="17" fillId="0" borderId="3" xfId="0" applyFont="1" applyBorder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20" fillId="3" borderId="0" xfId="0" applyFont="1" applyFill="1">
      <x:alignment vertical="center"/>
    </x:xf>
    <x:xf numFmtId="0" fontId="21" fillId="3" borderId="0" xfId="0" applyFont="1" applyFill="1">
      <x:alignment vertical="center"/>
    </x:xf>
    <x:xf numFmtId="0" fontId="22" fillId="3" borderId="0" xfId="0" applyFont="1" applyFill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 vertical="center" wrapText="1"/>
    </x:xf>
    <x:xf numFmtId="0" fontId="26" fillId="3" borderId="1" xfId="0" applyFont="1" applyFill="1" applyBorder="1" applyAlignment="1">
      <x:alignment horizontal="center" vertical="center"/>
    </x:xf>
    <x:xf numFmtId="0" fontId="26" fillId="3" borderId="1" xfId="0" applyFont="1" applyFill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7" fillId="3" borderId="1" xfId="0" applyFont="1" applyFill="1" applyBorder="1" applyAlignment="1">
      <x:alignment horizontal="center" vertical="center" wrapText="1"/>
    </x:xf>
    <x:xf numFmtId="0" fontId="28" fillId="3" borderId="1" xfId="0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left" vertical="center" wrapText="1"/>
    </x:xf>
    <x:xf numFmtId="0" fontId="29" fillId="0" borderId="0" xfId="0" applyFont="1">
      <x:alignment vertical="center"/>
    </x:xf>
    <x:xf numFmtId="0" fontId="28" fillId="3" borderId="1" xfId="0" applyFont="1" applyFill="1" applyBorder="1" applyAlignment="1">
      <x:alignment horizontal="left" vertical="center" wrapText="1"/>
    </x:xf>
    <x:xf numFmtId="0" fontId="24" fillId="3" borderId="1" xfId="0" applyFont="1" applyFill="1" applyBorder="1" applyAlignment="1">
      <x:alignment horizontal="left" vertical="center" wrapText="1"/>
    </x:xf>
    <x:xf numFmtId="0" fontId="26" fillId="3" borderId="1" xfId="0" applyFont="1" applyFill="1" applyBorder="1" applyAlignment="1">
      <x:alignment horizontal="left" vertical="center" wrapText="1"/>
    </x:xf>
    <x:xf numFmtId="0" fontId="28" fillId="0" borderId="1" xfId="0" applyFont="1" applyBorder="1" applyAlignment="1">
      <x:alignment horizontal="left" vertical="center" wrapText="1"/>
    </x:xf>
    <x:xf numFmtId="0" fontId="30" fillId="3" borderId="0" xfId="0" applyFont="1" applyFill="1" applyAlignment="1">
      <x:alignment horizontal="center" vertical="center"/>
    </x:xf>
    <x:xf numFmtId="0" fontId="31" fillId="5" borderId="1" xfId="0" applyFont="1" applyFill="1" applyBorder="1" applyAlignment="1">
      <x:alignment horizontal="center" vertical="center" wrapText="1"/>
    </x:xf>
    <x:xf numFmtId="0" fontId="32" fillId="5" borderId="1" xfId="0" applyFont="1" applyFill="1" applyBorder="1" applyAlignment="1">
      <x:alignment horizontal="center" vertical="center" wrapText="1"/>
    </x:xf>
    <x:xf numFmtId="0" fontId="21" fillId="5" borderId="1" xfId="0" applyFont="1" applyFill="1" applyBorder="1" applyAlignment="1">
      <x:alignment horizontal="center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3" xfId="0" applyFont="1" applyFill="1" applyBorder="1" applyAlignment="1">
      <x:alignment horizontal="left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0" fontId="31" fillId="2" borderId="1" xfId="0" applyFont="1" applyFill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34" fillId="0" borderId="1" xfId="0" applyFont="1" applyBorder="1" applyAlignment="1">
      <x:alignment horizontal="left" vertical="center" wrapText="1"/>
    </x:xf>
    <x:xf numFmtId="0" fontId="34" fillId="3" borderId="1" xfId="0" applyFont="1" applyFill="1" applyBorder="1" applyAlignment="1">
      <x:alignment horizontal="left" vertical="center" wrapText="1"/>
    </x:xf>
    <x:xf numFmtId="0" fontId="24" fillId="0" borderId="1" xfId="0" applyFont="1" applyBorder="1" applyAlignment="1">
      <x:alignment horizontal="left" vertical="center" wrapText="1"/>
    </x:xf>
    <x:xf numFmtId="0" fontId="20" fillId="0" borderId="1" xfId="0" applyFont="1" applyBorder="1">
      <x:alignment vertical="center"/>
    </x:xf>
    <x:xf numFmtId="0" fontId="23" fillId="3" borderId="0" xfId="0" applyFont="1" applyFill="1" applyAlignment="1">
      <x:alignment horizontal="right" vertical="center"/>
    </x:xf>
    <x:xf numFmtId="31" fontId="23" fillId="3" borderId="0" xfId="0" applyNumberFormat="1" applyFont="1" applyFill="1" applyAlignment="1">
      <x:alignment horizontal="right" vertical="center"/>
    </x:xf>
    <x:xf numFmtId="0" fontId="24" fillId="3" borderId="2" xfId="0" applyFont="1" applyFill="1" applyBorder="1" applyAlignment="1">
      <x:alignment horizontal="center" vertical="center" wrapText="1"/>
    </x:xf>
    <x:xf numFmtId="0" fontId="24" fillId="0" borderId="2" xfId="0" applyFont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left" vertical="center" wrapText="1"/>
    </x:xf>
    <x:xf numFmtId="0" fontId="24" fillId="3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left" vertical="center" wrapText="1"/>
    </x:xf>
    <x:xf numFmtId="0" fontId="24" fillId="3" borderId="3" xfId="0" applyFont="1" applyFill="1" applyBorder="1" applyAlignment="1">
      <x:alignment horizontal="center" vertical="center" wrapText="1"/>
    </x:xf>
    <x:xf numFmtId="0" fontId="28" fillId="3" borderId="2" xfId="0" applyFont="1" applyFill="1" applyBorder="1" applyAlignment="1">
      <x:alignment horizontal="left" vertical="center" wrapText="1"/>
    </x:xf>
    <x:xf numFmtId="0" fontId="28" fillId="3" borderId="3" xfId="0" applyFont="1" applyFill="1" applyBorder="1" applyAlignment="1">
      <x:alignment horizontal="left" vertical="center" wrapText="1"/>
    </x:xf>
    <x:xf numFmtId="0" fontId="36" fillId="3" borderId="4" xfId="0" applyFont="1" applyFill="1" applyBorder="1" applyAlignment="1">
      <x:alignment vertical="center" wrapText="1"/>
    </x:xf>
    <x:xf numFmtId="0" fontId="36" fillId="3" borderId="1" xfId="0" applyFont="1" applyFill="1" applyBorder="1" applyAlignment="1">
      <x:alignment horizontal="center" vertical="center" wrapText="1"/>
    </x:xf>
    <x:xf numFmtId="0" fontId="36" fillId="3" borderId="1" xfId="0" applyFont="1" applyFill="1" applyBorder="1" applyAlignment="1">
      <x:alignment horizontal="left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38" fillId="0" borderId="1" xfId="0" applyFont="1" applyBorder="1" applyAlignment="1">
      <x:alignment horizontal="left" vertical="center" wrapText="1"/>
    </x:xf>
    <x:xf numFmtId="0" fontId="20" fillId="0" borderId="0" xfId="0" applyFont="1">
      <x:alignment vertical="center"/>
    </x:xf>
    <x:xf numFmtId="0" fontId="20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 wrapText="1"/>
    </x:xf>
    <x:xf numFmtId="0" fontId="20" fillId="0" borderId="0" xfId="0" applyFont="1" applyAlignment="1">
      <x:alignment horizontal="center" vertical="center"/>
    </x:xf>
    <x:xf numFmtId="0" fontId="21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vertical="center" wrapText="1"/>
    </x:xf>
    <x:xf numFmtId="0" fontId="27" fillId="0" borderId="1" xfId="0" applyFont="1" applyBorder="1" applyAlignment="1">
      <x:alignment horizontal="left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23" fillId="5" borderId="1" xfId="0" applyFont="1" applyFill="1" applyBorder="1" applyAlignment="1">
      <x:alignment vertical="center" wrapText="1"/>
    </x:xf>
    <x:xf numFmtId="0" fontId="23" fillId="6" borderId="1" xfId="0" applyFont="1" applyFill="1" applyBorder="1" applyAlignment="1">
      <x:alignment horizontal="center" vertical="center"/>
    </x:xf>
    <x:xf numFmtId="177" fontId="24" fillId="3" borderId="1" xfId="0" applyNumberFormat="1" applyFont="1" applyFill="1" applyBorder="1" applyAlignment="1">
      <x:alignment horizontal="center" vertical="center" wrapText="1"/>
    </x:xf>
    <x:xf numFmtId="177" fontId="24" fillId="0" borderId="1" xfId="0" applyNumberFormat="1" applyFont="1" applyBorder="1" applyAlignment="1">
      <x:alignment horizontal="center" vertical="center" wrapText="1"/>
    </x:xf>
    <x:xf numFmtId="0" fontId="23" fillId="2" borderId="2" xfId="0" applyFont="1" applyFill="1" applyBorder="1" applyAlignment="1">
      <x:alignment horizontal="center" vertical="center"/>
    </x:xf>
    <x:xf numFmtId="176" fontId="23" fillId="2" borderId="2" xfId="0" applyNumberFormat="1" applyFont="1" applyFill="1" applyBorder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31" fontId="23" fillId="0" borderId="0" xfId="0" applyNumberFormat="1" applyFont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5" borderId="1" xfId="0" applyFont="1" applyFill="1" applyBorder="1" applyAlignment="1">
      <x:alignment horizontal="center" vertical="center" wrapText="1"/>
    </x:xf>
    <x:xf numFmtId="0" fontId="39" fillId="0" borderId="1" xfId="0" applyFont="1" applyBorder="1" applyAlignment="1">
      <x:alignment horizontal="center" vertical="center" wrapText="1"/>
    </x:xf>
    <x:xf numFmtId="0" fontId="40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horizontal="center" vertical="center" wrapText="1"/>
    </x:xf>
    <x:xf numFmtId="0" fontId="32" fillId="2" borderId="2" xfId="0" applyFont="1" applyFill="1" applyBorder="1">
      <x:alignment vertical="center"/>
    </x:xf>
    <x:xf numFmtId="0" fontId="7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43" fillId="0" borderId="1" xfId="0" applyFont="1" applyBorder="1" applyAlignment="1">
      <x:alignment horizontal="center" vertical="center" wrapText="1"/>
    </x:xf>
    <x:xf numFmtId="0" fontId="44" fillId="4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49" fontId="10" fillId="0" borderId="3" xfId="0" applyNumberFormat="1" applyFont="1" applyBorder="1" applyAlignment="1">
      <x:alignment horizontal="center" vertical="center" wrapText="1"/>
    </x:xf>
    <x:xf numFmtId="49" fontId="10" fillId="0" borderId="4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0" fontId="46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horizontal="center" vertical="center" wrapText="1"/>
    </x:xf>
    <x:xf numFmtId="0" fontId="47" fillId="0" borderId="2" xfId="0" applyFont="1" applyBorder="1" applyAlignment="1">
      <x:alignment horizontal="left" vertical="center" wrapText="1"/>
    </x:xf>
    <x:xf numFmtId="0" fontId="47" fillId="0" borderId="1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vertical="center" wrapText="1"/>
    </x:xf>
    <x:xf numFmtId="0" fontId="47" fillId="0" borderId="1" xfId="0" applyFont="1" applyBorder="1" applyAlignment="1">
      <x:alignment vertical="center" wrapText="1"/>
    </x:xf>
    <x:xf numFmtId="0" fontId="10" fillId="0" borderId="2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4" xfId="0" applyFont="1" applyBorder="1" applyAlignment="1">
      <x:alignment horizontal="left" vertical="center" wrapText="1"/>
    </x:xf>
    <x:xf numFmtId="0" fontId="48" fillId="0" borderId="0" xfId="0" applyFont="1" applyAlignment="1">
      <x:alignment vertical="center" wrapText="1"/>
    </x:xf>
    <x:xf numFmtId="0" fontId="49" fillId="0" borderId="1" xfId="0" applyFont="1" applyBorder="1" applyAlignment="1">
      <x:alignment horizontal="center" vertical="center" wrapText="1"/>
    </x:xf>
    <x:xf numFmtId="0" fontId="50" fillId="0" borderId="1" xfId="0" applyFont="1" applyBorder="1" applyAlignment="1">
      <x:alignment horizontal="left" vertical="center" wrapText="1"/>
    </x:xf>
    <x:xf numFmtId="0" fontId="13" fillId="2" borderId="1" xfId="0" applyFont="1" applyFill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center" wrapText="1"/>
    </x:xf>
    <x:xf numFmtId="0" fontId="17" fillId="0" borderId="5" xfId="0" applyFont="1" applyBorder="1" applyAlignment="1">
      <x:alignment horizontal="left" vertical="center" wrapText="1"/>
    </x:xf>
    <x:xf numFmtId="0" fontId="29" fillId="0" borderId="6" xfId="0" applyFont="1" applyBorder="1" applyAlignment="1">
      <x:alignment horizontal="left" vertical="center"/>
    </x:xf>
    <x:xf numFmtId="0" fontId="51" fillId="0" borderId="1" xfId="0" applyFont="1" applyBorder="1" applyAlignment="1">
      <x:alignment horizontal="center" vertical="center" wrapText="1"/>
    </x:xf>
    <x:xf numFmtId="0" fontId="52" fillId="0" borderId="0" xfId="0" applyFont="1" applyAlignment="1">
      <x:alignment horizontal="center" vertical="center" wrapText="1"/>
    </x:xf>
    <x:xf numFmtId="31" fontId="1" fillId="0" borderId="0" xfId="0" applyNumberFormat="1" applyFont="1" applyAlignment="1">
      <x:alignment horizontal="center" vertical="center" wrapText="1"/>
    </x:xf>
    <x:xf numFmtId="0" fontId="10" fillId="0" borderId="1" xfId="0" applyFont="1" applyBorder="1" applyAlignment="1">
      <x:alignment horizontal="justify" vertical="center" wrapText="1"/>
    </x:xf>
    <x:xf numFmtId="0" fontId="10" fillId="7" borderId="1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vertical="center" wrapText="1"/>
    </x:xf>
    <x:xf numFmtId="0" fontId="10" fillId="2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31" fontId="8" fillId="0" borderId="0" xfId="0" applyNumberFormat="1" applyFont="1" applyAlignment="1">
      <x:alignment vertical="center" wrapText="1"/>
    </x:xf>
    <x:xf numFmtId="0" fontId="29" fillId="0" borderId="7" xfId="0" applyFont="1" applyBorder="1" applyAlignment="1">
      <x:alignment horizontal="left" vertical="center"/>
    </x:xf>
    <x:xf numFmtId="0" fontId="53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4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43" fillId="0" borderId="1" xfId="0" applyFont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34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 wrapText="1"/>
    </x:xf>
    <x:xf numFmtId="180" fontId="8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56" fillId="0" borderId="0" xfId="0" applyFont="1" applyAlignment="1">
      <x:alignment horizontal="center" vertical="center"/>
    </x:xf>
    <x:xf numFmtId="31" fontId="31" fillId="0" borderId="0" xfId="0" applyNumberFormat="1" applyFont="1" applyAlignment="1">
      <x:alignment horizontal="center" vertical="center"/>
    </x:xf>
    <x:xf numFmtId="0" fontId="54" fillId="0" borderId="0" xfId="0" applyFont="1" applyAlignment="1">
      <x:alignment horizontal="center" vertical="center" wrapText="1"/>
    </x:xf>
    <x:xf numFmtId="0" fontId="57" fillId="0" borderId="1" xfId="0" applyFont="1" applyBorder="1" applyAlignment="1">
      <x:alignment horizontal="center" vertical="center" wrapText="1"/>
    </x:xf>
    <x:xf numFmtId="0" fontId="58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59" fillId="3" borderId="2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vertical="center" wrapText="1"/>
    </x:xf>
    <x:xf numFmtId="0" fontId="60" fillId="9" borderId="1" xfId="0" applyFont="1" applyFill="1" applyBorder="1" applyAlignment="1">
      <x:alignment horizontal="center" vertical="center" wrapText="1"/>
    </x:xf>
    <x:xf numFmtId="0" fontId="60" fillId="9" borderId="5" xfId="0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center" vertical="center" wrapText="1"/>
    </x:xf>
    <x:xf numFmtId="0" fontId="62" fillId="3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center" vertical="center" wrapText="1"/>
    </x:xf>
    <x:xf numFmtId="0" fontId="62" fillId="8" borderId="1" xfId="0" applyFont="1" applyFill="1" applyBorder="1" applyAlignment="1">
      <x:alignment horizontal="center" vertical="center" wrapText="1"/>
    </x:xf>
    <x:xf numFmtId="0" fontId="60" fillId="2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left" vertical="center" wrapText="1"/>
    </x:xf>
    <x:xf numFmtId="0" fontId="60" fillId="7" borderId="1" xfId="0" applyFont="1" applyFill="1" applyBorder="1" applyAlignment="1">
      <x:alignment horizontal="center" vertical="center" wrapText="1"/>
    </x:xf>
    <x:xf numFmtId="0" fontId="63" fillId="2" borderId="1" xfId="0" applyFont="1" applyFill="1" applyBorder="1" applyAlignment="1">
      <x:alignment horizontal="center" vertical="center" wrapText="1"/>
    </x:xf>
    <x:xf numFmtId="0" fontId="64" fillId="4" borderId="1" xfId="0" applyFont="1" applyFill="1" applyBorder="1" applyAlignment="1">
      <x:alignment horizontal="center" vertical="center" wrapText="1"/>
    </x:xf>
    <x:xf numFmtId="0" fontId="65" fillId="3" borderId="1" xfId="0" applyFont="1" applyFill="1" applyBorder="1" applyAlignment="1">
      <x:alignment horizontal="left" vertical="center" wrapText="1"/>
    </x:xf>
    <x:xf numFmtId="0" fontId="65" fillId="0" borderId="1" xfId="0" applyFont="1" applyBorder="1" applyAlignment="1">
      <x:alignment horizontal="left" vertical="center" wrapText="1"/>
    </x:xf>
    <x:xf numFmtId="0" fontId="65" fillId="0" borderId="1" xfId="0" applyFont="1" applyBorder="1" applyAlignment="1">
      <x:alignment vertical="center" wrapText="1"/>
    </x:xf>
    <x:xf numFmtId="0" fontId="66" fillId="0" borderId="1" xfId="0" applyFont="1" applyBorder="1" applyAlignment="1">
      <x:alignment horizontal="center" vertical="center" wrapText="1"/>
    </x:xf>
    <x:xf numFmtId="0" fontId="67" fillId="0" borderId="1" xfId="0" applyFont="1" applyBorder="1" applyAlignment="1">
      <x:alignment horizontal="left" vertical="center" wrapText="1"/>
    </x:xf>
    <x:xf numFmtId="0" fontId="63" fillId="2" borderId="1" xfId="0" applyFont="1" applyFill="1" applyBorder="1" applyAlignment="1">
      <x:alignment horizontal="left" vertical="center" wrapText="1"/>
    </x:xf>
    <x:xf numFmtId="0" fontId="68" fillId="10" borderId="0" xfId="0" applyFont="1" applyFill="1" applyAlignment="1">
      <x:alignment horizontal="center" vertical="center"/>
    </x:xf>
    <x:xf numFmtId="0" fontId="69" fillId="0" borderId="0" xfId="0" applyFont="1">
      <x:alignment vertical="center"/>
    </x:xf>
    <x:xf numFmtId="0" fontId="68" fillId="10" borderId="2" xfId="0" applyFont="1" applyFill="1" applyBorder="1" applyAlignment="1">
      <x:alignment horizontal="center" vertical="center"/>
    </x:xf>
    <x:xf numFmtId="0" fontId="68" fillId="10" borderId="1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 wrapText="1"/>
    </x:xf>
    <x:xf numFmtId="0" fontId="69" fillId="11" borderId="8" xfId="0" applyFont="1" applyFill="1" applyBorder="1" applyAlignment="1">
      <x:alignment horizontal="center" vertical="center"/>
    </x:xf>
    <x:xf numFmtId="181" fontId="70" fillId="11" borderId="1" xfId="0" applyNumberFormat="1" applyFont="1" applyFill="1" applyBorder="1" applyAlignment="1">
      <x:alignment horizontal="center" vertical="center" wrapText="1"/>
    </x:xf>
    <x:xf numFmtId="0" fontId="70" fillId="0" borderId="2" xfId="0" applyFont="1" applyBorder="1" applyAlignment="1">
      <x:alignment horizontal="center" vertical="center"/>
    </x:xf>
    <x:xf numFmtId="0" fontId="29" fillId="0" borderId="1" xfId="0" applyFont="1" applyBorder="1">
      <x:alignment vertical="center"/>
    </x:xf>
    <x:xf numFmtId="0" fontId="29" fillId="0" borderId="9" xfId="0" applyFont="1" applyBorder="1">
      <x:alignment vertical="center"/>
    </x:xf>
    <x:xf numFmtId="181" fontId="70" fillId="11" borderId="2" xfId="0" applyNumberFormat="1" applyFont="1" applyFill="1" applyBorder="1" applyAlignment="1">
      <x:alignment horizontal="center" vertical="center" wrapText="1"/>
    </x:xf>
    <x:xf numFmtId="0" fontId="53" fillId="0" borderId="3" xfId="0" applyFont="1" applyBorder="1">
      <x:alignment vertical="center"/>
    </x:xf>
    <x:xf numFmtId="0" fontId="29" fillId="0" borderId="4" xfId="0" applyFont="1" applyBorder="1">
      <x:alignment vertical="center"/>
    </x:xf>
    <x:xf numFmtId="0" fontId="69" fillId="11" borderId="7" xfId="0" applyFont="1" applyFill="1" applyBorder="1" applyAlignment="1">
      <x:alignment horizontal="center" vertical="center" wrapText="1"/>
    </x:xf>
    <x:xf numFmtId="0" fontId="70" fillId="0" borderId="7" xfId="0" applyFont="1" applyBorder="1" applyAlignment="1">
      <x:alignment horizontal="center" vertical="center"/>
    </x:xf>
    <x:xf numFmtId="0" fontId="69" fillId="11" borderId="7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/>
    </x:xf>
    <x:xf numFmtId="0" fontId="70" fillId="0" borderId="6" xfId="0" applyFont="1" applyBorder="1" applyAlignment="1">
      <x:alignment horizontal="center" vertical="center"/>
    </x:xf>
    <x:xf numFmtId="0" fontId="68" fillId="10" borderId="1" xfId="0" applyFont="1" applyFill="1" applyBorder="1" applyAlignment="1">
      <x:alignment horizontal="left" vertical="center" wrapText="1"/>
    </x:xf>
    <x:xf numFmtId="0" fontId="68" fillId="10" borderId="1" xfId="0" applyFont="1" applyFill="1" applyBorder="1" applyAlignment="1">
      <x:alignment horizontal="center" vertical="center" wrapText="1"/>
    </x:xf>
    <x:xf numFmtId="181" fontId="70" fillId="0" borderId="1" xfId="0" applyNumberFormat="1" applyFont="1" applyBorder="1" applyAlignment="1">
      <x:alignment horizontal="left" vertical="center" wrapText="1"/>
    </x:xf>
    <x:xf numFmtId="0" fontId="69" fillId="3" borderId="1" xfId="0" applyFont="1" applyFill="1" applyBorder="1" applyAlignment="1">
      <x:alignment horizontal="center" vertical="center" wrapText="1"/>
    </x:xf>
    <x:xf numFmtId="0" fontId="69" fillId="0" borderId="10" xfId="0" applyFont="1" applyBorder="1" applyAlignment="1">
      <x:alignment horizontal="center" vertical="center"/>
    </x:xf>
    <x:xf numFmtId="0" fontId="69" fillId="0" borderId="2" xfId="0" applyFont="1" applyBorder="1" applyAlignment="1">
      <x:alignment horizontal="center" vertical="center"/>
    </x:xf>
    <x:xf numFmtId="181" fontId="70" fillId="0" borderId="2" xfId="0" applyNumberFormat="1" applyFont="1" applyBorder="1" applyAlignment="1">
      <x:alignment horizontal="left" vertical="center" wrapText="1"/>
    </x:xf>
    <x:xf numFmtId="0" fontId="29" fillId="0" borderId="11" xfId="0" applyFont="1" applyBorder="1">
      <x:alignment vertical="center"/>
    </x:xf>
    <x:xf numFmtId="0" fontId="29" fillId="0" borderId="3" xfId="0" applyFont="1" applyBorder="1">
      <x:alignment vertical="center"/>
    </x:xf>
    <x:xf numFmtId="0" fontId="69" fillId="0" borderId="2" xfId="0" applyFont="1" applyBorder="1" applyAlignment="1">
      <x:alignment horizontal="left" vertical="center" wrapText="1"/>
    </x:xf>
    <x:xf numFmtId="0" fontId="69" fillId="3" borderId="2" xfId="0" applyFont="1" applyFill="1" applyBorder="1" applyAlignment="1">
      <x:alignment horizontal="center" vertical="center" wrapText="1"/>
    </x:xf>
    <x:xf numFmtId="0" fontId="69" fillId="0" borderId="3" xfId="0" applyFont="1" applyBorder="1" applyAlignment="1">
      <x:alignment horizontal="center" vertical="center"/>
    </x:xf>
    <x:xf numFmtId="0" fontId="29" fillId="0" borderId="5" xfId="0" applyFont="1" applyBorder="1" applyAlignment="1">
      <x:alignment vertical="center" wrapText="1"/>
    </x:xf>
    <x:xf numFmtId="0" fontId="69" fillId="3" borderId="5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center" vertical="center"/>
    </x:xf>
    <x:xf numFmtId="182" fontId="68" fillId="10" borderId="2" xfId="0" applyNumberFormat="1" applyFont="1" applyFill="1" applyBorder="1" applyAlignment="1">
      <x:alignment horizontal="center" vertical="center"/>
    </x:xf>
    <x:xf numFmtId="0" fontId="68" fillId="10" borderId="8" xfId="0" applyFont="1" applyFill="1" applyBorder="1" applyAlignment="1">
      <x:alignment horizontal="center" vertical="center"/>
    </x:xf>
    <x:xf numFmtId="182" fontId="70" fillId="3" borderId="5" xfId="0" applyNumberFormat="1" applyFont="1" applyFill="1" applyBorder="1" applyAlignment="1">
      <x:alignment horizontal="center" vertical="center" wrapText="1"/>
    </x:xf>
    <x:xf numFmtId="182" fontId="69" fillId="0" borderId="3" xfId="0" applyNumberFormat="1" applyFont="1" applyBorder="1" applyAlignment="1">
      <x:alignment horizontal="center" vertical="center"/>
    </x:xf>
    <x:xf numFmtId="182" fontId="70" fillId="0" borderId="11" xfId="0" applyNumberFormat="1" applyFont="1" applyBorder="1" applyAlignment="1">
      <x:alignment horizontal="center" vertical="center" wrapText="1"/>
    </x:xf>
    <x:xf numFmtId="0" fontId="69" fillId="0" borderId="5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5" xfId="0" applyFont="1" applyBorder="1" applyAlignment="1">
      <x:alignment horizontal="center" vertical="center"/>
    </x:xf>
    <x:xf numFmtId="182" fontId="70" fillId="3" borderId="1" xfId="0" applyNumberFormat="1" applyFont="1" applyFill="1" applyBorder="1" applyAlignment="1">
      <x:alignment horizontal="center" vertical="center" wrapText="1"/>
    </x:xf>
    <x:xf numFmtId="0" fontId="68" fillId="10" borderId="10" xfId="0" applyFont="1" applyFill="1" applyBorder="1" applyAlignment="1">
      <x:alignment horizontal="center" vertical="center"/>
    </x:xf>
    <x:xf numFmtId="0" fontId="69" fillId="0" borderId="8" xfId="0" applyFont="1" applyBorder="1" applyAlignment="1">
      <x:alignment horizontal="left" vertical="center" wrapText="1"/>
    </x:xf>
    <x:xf numFmtId="0" fontId="69" fillId="0" borderId="0" xfId="0" applyFont="1" applyAlignment="1">
      <x:alignment horizontal="center" vertical="center"/>
    </x:xf>
    <x:xf numFmtId="0" fontId="29" fillId="0" borderId="12" xfId="0" applyFont="1" applyBorder="1">
      <x:alignment vertical="center"/>
    </x:xf>
    <x:xf numFmtId="0" fontId="69" fillId="0" borderId="9" xfId="0" applyFont="1" applyBorder="1" applyAlignment="1">
      <x:alignment horizontal="left" vertical="center" wrapText="1"/>
    </x:xf>
    <x:xf numFmtId="182" fontId="70" fillId="3" borderId="12" xfId="0" applyNumberFormat="1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 wrapText="1"/>
    </x:xf>
    <x:xf numFmtId="0" fontId="69" fillId="3" borderId="0" xfId="0" applyFont="1" applyFill="1">
      <x:alignment vertical="center"/>
    </x:xf>
    <x:xf numFmtId="0" fontId="72" fillId="3" borderId="0" xfId="0" applyFont="1" applyFill="1">
      <x:alignment vertical="center"/>
    </x:xf>
    <x:xf numFmtId="0" fontId="69" fillId="0" borderId="0" xfId="0" applyFont="1" applyAlignment="1">
      <x:alignment horizontal="left" vertical="center" wrapText="1"/>
    </x:xf>
    <x:xf numFmtId="0" fontId="69" fillId="0" borderId="0" xfId="0" applyFont="1" applyAlignment="1">
      <x:alignment horizontal="center" vertical="center" wrapText="1"/>
    </x:xf>
    <x:xf numFmtId="182" fontId="69" fillId="12" borderId="0" xfId="0" applyNumberFormat="1" applyFont="1" applyFill="1" applyAlignment="1">
      <x:alignment horizontal="center" vertical="center"/>
    </x:xf>
    <x:xf numFmtId="182" fontId="69" fillId="0" borderId="0" xfId="0" applyNumberFormat="1" applyFont="1" applyAlignment="1">
      <x:alignment horizontal="center" vertical="center"/>
    </x:xf>
    <x:xf numFmtId="0" fontId="70" fillId="11" borderId="1" xfId="0" applyFont="1" applyFill="1" applyBorder="1" applyAlignment="1">
      <x:alignment horizontal="center" vertical="center" wrapText="1"/>
    </x:xf>
    <x:xf numFmtId="0" fontId="69" fillId="3" borderId="1" xfId="0" applyFont="1" applyFill="1" applyBorder="1" applyAlignment="1">
      <x:alignment horizontal="center" vertical="center"/>
    </x:xf>
    <x:xf numFmtId="0" fontId="69" fillId="11" borderId="2" xfId="0" applyFont="1" applyFill="1" applyBorder="1" applyAlignment="1">
      <x:alignment horizontal="center" vertical="center"/>
    </x:xf>
    <x:xf numFmtId="0" fontId="69" fillId="11" borderId="1" xfId="0" applyFont="1" applyFill="1" applyBorder="1">
      <x:alignment vertical="center"/>
    </x:xf>
    <x:xf numFmtId="0" fontId="69" fillId="11" borderId="2" xfId="0" applyFont="1" applyFill="1" applyBorder="1" applyAlignment="1">
      <x:alignment horizontal="center" vertical="center" wrapText="1"/>
    </x:xf>
    <x:xf numFmtId="0" fontId="29" fillId="11" borderId="1" xfId="0" applyFont="1" applyFill="1" applyBorder="1">
      <x:alignment vertical="center"/>
    </x:xf>
    <x:xf numFmtId="0" fontId="29" fillId="0" borderId="4" xfId="0" applyFont="1" applyBorder="1" applyAlignment="1">
      <x:alignment vertical="center" wrapText="1"/>
    </x:xf>
    <x:xf numFmtId="0" fontId="73" fillId="0" borderId="2" xfId="0" applyFont="1" applyBorder="1" applyAlignment="1">
      <x:alignment horizontal="center" vertical="center"/>
    </x:xf>
    <x:xf numFmtId="0" fontId="74" fillId="0" borderId="3" xfId="0" applyFont="1" applyBorder="1">
      <x:alignment vertical="center"/>
    </x:xf>
    <x:xf numFmtId="0" fontId="69" fillId="13" borderId="1" xfId="0" applyFont="1" applyFill="1" applyBorder="1" applyAlignment="1">
      <x:alignment horizontal="center" vertical="center"/>
    </x:xf>
    <x:xf numFmtId="0" fontId="69" fillId="13" borderId="1" xfId="0" applyFont="1" applyFill="1" applyBorder="1" applyAlignment="1">
      <x:alignment horizontal="center" vertical="center" wrapText="1"/>
    </x:xf>
    <x:xf numFmtId="0" fontId="73" fillId="0" borderId="7" xfId="0" applyFont="1" applyBorder="1" applyAlignment="1">
      <x:alignment horizontal="center" vertical="center"/>
    </x:xf>
    <x:xf numFmtId="0" fontId="29" fillId="0" borderId="1" xfId="0" applyFont="1" applyBorder="1" applyAlignment="1">
      <x:alignment vertical="center" wrapText="1"/>
    </x:xf>
    <x:xf numFmtId="0" fontId="29" fillId="0" borderId="2" xfId="0" applyFont="1" applyBorder="1" applyAlignment="1">
      <x:alignment vertical="center" wrapText="1"/>
    </x:xf>
    <x:xf numFmtId="0" fontId="73" fillId="0" borderId="8" xfId="0" applyFont="1" applyBorder="1" applyAlignment="1">
      <x:alignment horizontal="center" vertical="center"/>
    </x:xf>
    <x:xf numFmtId="0" fontId="69" fillId="14" borderId="4" xfId="0" applyFont="1" applyFill="1" applyBorder="1" applyAlignment="1">
      <x:alignment horizontal="center" vertical="center"/>
    </x:xf>
    <x:xf numFmtId="0" fontId="69" fillId="14" borderId="13" xfId="0" applyFont="1" applyFill="1" applyBorder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/>
    </x:xf>
    <x:xf numFmtId="0" fontId="73" fillId="0" borderId="1" xfId="0" applyFont="1" applyBorder="1" applyAlignment="1">
      <x:alignment horizontal="center" vertical="center"/>
    </x:xf>
    <x:xf numFmtId="0" fontId="29" fillId="0" borderId="5" xfId="0" applyFont="1" applyBorder="1">
      <x:alignment vertical="center"/>
    </x:xf>
    <x:xf numFmtId="181" fontId="70" fillId="14" borderId="1" xfId="0" applyNumberFormat="1" applyFont="1" applyFill="1" applyBorder="1" applyAlignment="1">
      <x:alignment horizontal="center" vertical="center" wrapText="1"/>
    </x:xf>
    <x:xf numFmtId="181" fontId="70" fillId="14" borderId="4" xfId="0" applyNumberFormat="1" applyFont="1" applyFill="1" applyBorder="1" applyAlignment="1">
      <x:alignment horizontal="center" vertical="center" wrapText="1"/>
    </x:xf>
    <x:xf numFmtId="0" fontId="73" fillId="0" borderId="4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 wrapText="1"/>
    </x:xf>
    <x:xf numFmtId="0" fontId="69" fillId="14" borderId="2" xfId="0" applyFont="1" applyFill="1" applyBorder="1" applyAlignment="1">
      <x:alignment horizontal="center" vertical="center" wrapText="1"/>
    </x:xf>
    <x:xf numFmtId="0" fontId="29" fillId="14" borderId="1" xfId="0" applyFont="1" applyFill="1" applyBorder="1">
      <x:alignment vertical="center"/>
    </x:xf>
    <x:xf numFmtId="0" fontId="69" fillId="3" borderId="1" xfId="0" applyFont="1" applyFill="1" applyBorder="1" applyAlignment="1">
      <x:alignment horizontal="left" vertical="center" wrapText="1"/>
    </x:xf>
    <x:xf numFmtId="0" fontId="70" fillId="3" borderId="1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/>
    </x:xf>
    <x:xf numFmtId="0" fontId="75" fillId="0" borderId="1" xfId="0" applyFont="1" applyBorder="1" applyAlignment="1">
      <x:alignment horizontal="left" vertical="center" wrapText="1"/>
    </x:xf>
    <x:xf numFmtId="0" fontId="69" fillId="3" borderId="7" xfId="0" applyFont="1" applyFill="1" applyBorder="1" applyAlignment="1">
      <x:alignment horizontal="center" vertical="center" wrapText="1"/>
    </x:xf>
    <x:xf numFmtId="0" fontId="75" fillId="0" borderId="4" xfId="0" applyFont="1" applyBorder="1" applyAlignment="1">
      <x:alignment horizontal="left" vertical="center" wrapText="1"/>
    </x:xf>
    <x:xf numFmtId="182" fontId="68" fillId="10" borderId="1" xfId="0" applyNumberFormat="1" applyFont="1" applyFill="1" applyBorder="1" applyAlignment="1">
      <x:alignment horizontal="center" vertical="center"/>
    </x:xf>
    <x:xf numFmtId="182" fontId="70" fillId="12" borderId="1" xfId="0" applyNumberFormat="1" applyFont="1" applyFill="1" applyBorder="1" applyAlignment="1">
      <x:alignment horizontal="center" vertical="center" wrapText="1"/>
    </x:xf>
    <x:xf numFmtId="0" fontId="29" fillId="12" borderId="1" xfId="0" applyFont="1" applyFill="1" applyBorder="1">
      <x:alignment vertical="center"/>
    </x:xf>
    <x:xf numFmtId="0" fontId="69" fillId="12" borderId="1" xfId="0" applyFont="1" applyFill="1" applyBorder="1" applyAlignment="1">
      <x:alignment horizontal="center" vertical="center" wrapText="1"/>
    </x:xf>
    <x:xf numFmtId="0" fontId="69" fillId="12" borderId="2" xfId="0" applyFont="1" applyFill="1" applyBorder="1" applyAlignment="1">
      <x:alignment horizontal="center" vertical="center" wrapText="1"/>
    </x:xf>
    <x:xf numFmtId="182" fontId="69" fillId="12" borderId="1" xfId="0" applyNumberFormat="1" applyFont="1" applyFill="1" applyBorder="1" applyAlignment="1">
      <x:alignment horizontal="center" vertical="center"/>
    </x:xf>
    <x:xf numFmtId="182" fontId="69" fillId="0" borderId="1" xfId="0" applyNumberFormat="1" applyFont="1" applyBorder="1" applyAlignment="1">
      <x:alignment horizontal="center" vertical="center"/>
    </x:xf>
    <x:xf numFmtId="0" fontId="69" fillId="12" borderId="1" xfId="0" applyFont="1" applyFill="1" applyBorder="1" applyAlignment="1">
      <x:alignment horizontal="center" vertical="center"/>
    </x:xf>
    <x:xf numFmtId="182" fontId="73" fillId="0" borderId="1" xfId="0" applyNumberFormat="1" applyFont="1" applyBorder="1" applyAlignment="1">
      <x:alignment horizontal="center" vertical="center"/>
    </x:xf>
    <x:xf numFmtId="182" fontId="70" fillId="0" borderId="1" xfId="0" applyNumberFormat="1" applyFont="1" applyBorder="1" applyAlignment="1">
      <x:alignment horizontal="center" vertical="center"/>
    </x:xf>
    <x:xf numFmtId="0" fontId="68" fillId="10" borderId="10" xfId="0" applyFont="1" applyFill="1" applyBorder="1" applyAlignment="1">
      <x:alignment horizontal="left" vertical="center" wrapText="1"/>
    </x:xf>
    <x:xf numFmtId="182" fontId="70" fillId="3" borderId="8" xfId="0" applyNumberFormat="1" applyFont="1" applyFill="1" applyBorder="1" applyAlignment="1">
      <x:alignment horizontal="center" vertical="center" wrapText="1"/>
    </x:xf>
    <x:xf numFmtId="182" fontId="70" fillId="3" borderId="2" xfId="0" applyNumberFormat="1" applyFont="1" applyFill="1" applyBorder="1" applyAlignment="1">
      <x:alignment horizontal="center" vertical="center" wrapText="1"/>
    </x:xf>
    <x:xf numFmtId="0" fontId="53" fillId="0" borderId="1" xfId="0" applyFont="1" applyBorder="1">
      <x:alignment vertical="center"/>
    </x:xf>
    <x:xf numFmtId="182" fontId="70" fillId="0" borderId="1" xfId="0" applyNumberFormat="1" applyFont="1" applyBorder="1" applyAlignment="1">
      <x:alignment horizontal="center" vertical="center" wrapText="1"/>
    </x:xf>
    <x:xf numFmtId="182" fontId="70" fillId="3" borderId="7" xfId="0" applyNumberFormat="1" applyFont="1" applyFill="1" applyBorder="1" applyAlignment="1">
      <x:alignment horizontal="center" vertical="center" wrapText="1"/>
    </x:xf>
    <x:xf numFmtId="0" fontId="29" fillId="0" borderId="3" xfId="0" applyFont="1" applyBorder="1" applyAlignment="1">
      <x:alignment horizontal="left" vertical="center"/>
    </x:xf>
    <x:xf numFmtId="0" fontId="29" fillId="0" borderId="4" xfId="0" applyFont="1" applyBorder="1" applyAlignment="1">
      <x:alignment horizontal="left" vertical="center"/>
    </x:xf>
    <x:xf numFmtId="0" fontId="69" fillId="3" borderId="0" xfId="0" applyFont="1" applyFill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 wrapText="1"/>
    </x:xf>
    <x:xf numFmtId="0" fontId="29" fillId="14" borderId="3" xfId="0" applyFont="1" applyFill="1" applyBorder="1" applyAlignment="1">
      <x:alignment horizontal="center" vertical="center"/>
    </x:xf>
    <x:xf numFmtId="183" fontId="70" fillId="14" borderId="1" xfId="0" applyNumberFormat="1" applyFont="1" applyFill="1" applyBorder="1" applyAlignment="1">
      <x:alignment horizontal="center" vertical="center"/>
    </x:xf>
    <x:xf numFmtId="0" fontId="53" fillId="14" borderId="1" xfId="0" applyFont="1" applyFill="1" applyBorder="1">
      <x:alignment vertical="center"/>
    </x:xf>
    <x:xf numFmtId="183" fontId="70" fillId="14" borderId="2" xfId="0" applyNumberFormat="1" applyFont="1" applyFill="1" applyBorder="1" applyAlignment="1">
      <x:alignment horizontal="center" vertical="center"/>
    </x:xf>
    <x:xf numFmtId="181" fontId="70" fillId="14" borderId="2" xfId="0" applyNumberFormat="1" applyFont="1" applyFill="1" applyBorder="1" applyAlignment="1">
      <x:alignment horizontal="center" vertical="center" wrapText="1"/>
    </x:xf>
    <x:xf numFmtId="0" fontId="70" fillId="14" borderId="10" xfId="0" applyFont="1" applyFill="1" applyBorder="1" applyAlignment="1">
      <x:alignment horizontal="center" vertical="center"/>
    </x:xf>
    <x:xf numFmtId="0" fontId="29" fillId="0" borderId="13" xfId="0" applyFont="1" applyBorder="1">
      <x:alignment vertical="center"/>
    </x:xf>
    <x:xf numFmtId="0" fontId="73" fillId="0" borderId="12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/>
    </x:xf>
    <x:xf numFmtId="0" fontId="69" fillId="14" borderId="2" xfId="0" applyFont="1" applyFill="1" applyBorder="1" applyAlignment="1">
      <x:alignment horizontal="center" vertical="center"/>
    </x:xf>
    <x:xf numFmtId="0" fontId="69" fillId="15" borderId="1" xfId="0" applyFont="1" applyFill="1" applyBorder="1" applyAlignment="1">
      <x:alignment horizontal="center" vertical="center"/>
    </x:xf>
    <x:xf numFmtId="0" fontId="69" fillId="15" borderId="2" xfId="0" applyFont="1" applyFill="1" applyBorder="1" applyAlignment="1">
      <x:alignment horizontal="center" vertical="center" wrapText="1"/>
    </x:xf>
    <x:xf numFmtId="0" fontId="69" fillId="15" borderId="2" xfId="0" applyFont="1" applyFill="1" applyBorder="1" applyAlignment="1">
      <x:alignment horizontal="center" vertical="center"/>
    </x:xf>
    <x:xf numFmtId="0" fontId="29" fillId="0" borderId="3" xfId="0" applyFont="1" applyBorder="1" applyAlignment="1">
      <x:alignment vertical="center" wrapText="1"/>
    </x:xf>
    <x:xf numFmtId="0" fontId="76" fillId="0" borderId="3" xfId="0" applyFont="1" applyBorder="1">
      <x:alignment vertical="center"/>
    </x:xf>
    <x:xf numFmtId="0" fontId="76" fillId="0" borderId="4" xfId="0" applyFont="1" applyBorder="1">
      <x:alignment vertical="center"/>
    </x:xf>
    <x:xf numFmtId="0" fontId="69" fillId="15" borderId="1" xfId="0" applyFont="1" applyFill="1" applyBorder="1" applyAlignment="1">
      <x:alignment horizontal="center" vertical="center" wrapText="1"/>
    </x:xf>
    <x:xf numFmtId="183" fontId="70" fillId="0" borderId="1" xfId="0" applyNumberFormat="1" applyFont="1" applyBorder="1" applyAlignment="1">
      <x:alignment horizontal="left" vertical="center" wrapText="1"/>
    </x:xf>
    <x:xf numFmtId="183" fontId="70" fillId="0" borderId="2" xfId="0" applyNumberFormat="1" applyFont="1" applyBorder="1" applyAlignment="1">
      <x:alignment horizontal="left" vertical="center" wrapText="1"/>
    </x:xf>
    <x:xf numFmtId="183" fontId="70" fillId="0" borderId="4" xfId="0" applyNumberFormat="1" applyFont="1" applyBorder="1" applyAlignment="1">
      <x:alignment horizontal="left" vertical="center" wrapText="1"/>
    </x:xf>
    <x:xf numFmtId="0" fontId="69" fillId="3" borderId="3" xfId="0" applyFont="1" applyFill="1" applyBorder="1" applyAlignment="1">
      <x:alignment horizontal="center" vertical="center" wrapText="1"/>
    </x:xf>
    <x:xf numFmtId="0" fontId="70" fillId="0" borderId="1" xfId="0" applyFont="1" applyBorder="1" applyAlignment="1">
      <x:alignment horizontal="left" vertical="center" wrapText="1"/>
    </x:xf>
    <x:xf numFmtId="0" fontId="69" fillId="0" borderId="1" xfId="0" applyFont="1" applyBorder="1" applyAlignment="1">
      <x:alignment horizontal="center" vertical="center" wrapText="1"/>
    </x:xf>
    <x:xf numFmtId="182" fontId="69" fillId="12" borderId="1" xfId="0" applyNumberFormat="1" applyFont="1" applyFill="1" applyBorder="1">
      <x:alignment vertical="center"/>
    </x:xf>
    <x:xf numFmtId="182" fontId="73" fillId="0" borderId="2" xfId="0" applyNumberFormat="1" applyFont="1" applyBorder="1">
      <x:alignment vertical="center"/>
    </x:xf>
    <x:xf numFmtId="182" fontId="69" fillId="12" borderId="5" xfId="0" applyNumberFormat="1" applyFont="1" applyFill="1" applyBorder="1" applyAlignment="1">
      <x:alignment horizontal="center" vertical="center"/>
    </x:xf>
    <x:xf numFmtId="182" fontId="69" fillId="12" borderId="10" xfId="0" applyNumberFormat="1" applyFont="1" applyFill="1" applyBorder="1" applyAlignment="1">
      <x:alignment horizontal="center" vertical="center"/>
    </x:xf>
    <x:xf numFmtId="182" fontId="69" fillId="12" borderId="11" xfId="0" applyNumberFormat="1" applyFont="1" applyFill="1" applyBorder="1" applyAlignment="1">
      <x:alignment horizontal="center" vertical="center"/>
    </x:xf>
    <x:xf numFmtId="0" fontId="29" fillId="12" borderId="5" xfId="0" applyFont="1" applyFill="1" applyBorder="1">
      <x:alignment vertical="center"/>
    </x:xf>
    <x:xf numFmtId="182" fontId="70" fillId="0" borderId="4" xfId="0" applyNumberFormat="1" applyFont="1" applyBorder="1" applyAlignment="1">
      <x:alignment horizontal="center" vertical="center"/>
    </x:xf>
    <x:xf numFmtId="0" fontId="69" fillId="0" borderId="4" xfId="0" applyFont="1" applyBorder="1" applyAlignment="1">
      <x:alignment horizontal="left" vertical="center" wrapText="1"/>
    </x:xf>
    <x:xf numFmtId="182" fontId="69" fillId="0" borderId="7" xfId="0" applyNumberFormat="1" applyFont="1" applyBorder="1" applyAlignment="1">
      <x:alignment horizontal="center" vertical="center"/>
    </x:xf>
    <x:xf numFmtId="0" fontId="29" fillId="0" borderId="7" xfId="0" applyFont="1" applyBorder="1">
      <x:alignment vertical="center"/>
    </x:xf>
    <x:xf numFmtId="182" fontId="70" fillId="0" borderId="7" xfId="0" applyNumberFormat="1" applyFont="1" applyBorder="1" applyAlignment="1">
      <x:alignment horizontal="center" vertical="center" wrapText="1"/>
    </x:xf>
    <x:xf numFmtId="182" fontId="69" fillId="0" borderId="8" xfId="0" applyNumberFormat="1" applyFont="1" applyBorder="1" applyAlignment="1">
      <x:alignment horizontal="center" vertical="center"/>
    </x:xf>
    <x:xf numFmtId="0" fontId="69" fillId="0" borderId="2" xfId="0" applyFont="1" applyBorder="1" applyAlignment="1">
      <x:alignment horizontal="left" vertical="center"/>
    </x:xf>
    <x:xf numFmtId="182" fontId="70" fillId="0" borderId="5" xfId="0" applyNumberFormat="1" applyFont="1" applyBorder="1" applyAlignment="1">
      <x:alignment horizontal="center" vertical="center" wrapText="1"/>
    </x:xf>
    <x:xf numFmtId="182" fontId="70" fillId="3" borderId="4" xfId="0" applyNumberFormat="1" applyFont="1" applyFill="1" applyBorder="1" applyAlignment="1">
      <x:alignment horizontal="center" vertical="center" wrapText="1"/>
    </x:xf>
    <x:xf numFmtId="0" fontId="69" fillId="0" borderId="4" xfId="0" applyFont="1" applyBorder="1" applyAlignment="1">
      <x:alignment horizontal="left" vertical="center"/>
    </x:xf>
    <x:xf numFmtId="0" fontId="29" fillId="0" borderId="0" xfId="0" applyFont="1" applyAlignment="1">
      <x:alignment horizontal="center" vertical="center"/>
    </x:xf>
    <x:xf numFmtId="0" fontId="69" fillId="0" borderId="1" xfId="0" applyFont="1" applyBorder="1" applyAlignment="1">
      <x:alignment horizontal="right" vertical="center"/>
    </x:xf>
    <x:xf numFmtId="0" fontId="29" fillId="0" borderId="1" xfId="0" applyFont="1" applyBorder="1" applyAlignment="1">
      <x:alignment horizontal="right" vertical="center"/>
    </x:xf>
    <x:xf numFmtId="0" fontId="72" fillId="3" borderId="1" xfId="0" applyFont="1" applyFill="1" applyBorder="1" applyAlignment="1">
      <x:alignment horizontal="center" vertical="center"/>
    </x:xf>
    <x:xf numFmtId="0" fontId="72" fillId="3" borderId="0" xfId="0" applyFont="1" applyFill="1" applyAlignment="1">
      <x:alignment horizontal="center" vertical="center"/>
    </x:xf>
    <x:xf numFmtId="0" fontId="29" fillId="0" borderId="1" xfId="0" applyFont="1" applyBorder="1" applyAlignment="1">
      <x:alignment horizontal="center" vertical="center"/>
    </x:xf>
    <x:xf numFmtId="0" fontId="72" fillId="3" borderId="1" xfId="0" applyFont="1" applyFill="1" applyBorder="1" applyAlignment="1">
      <x:alignment horizontal="left" vertical="center" wrapText="1"/>
    </x:xf>
    <x:xf numFmtId="0" fontId="72" fillId="3" borderId="1" xfId="0" applyFont="1" applyFill="1" applyBorder="1" applyAlignment="1">
      <x:alignment horizontal="center" vertical="center" wrapText="1"/>
    </x:xf>
    <x:xf numFmtId="0" fontId="72" fillId="3" borderId="0" xfId="0" applyFont="1" applyFill="1" applyAlignment="1">
      <x:alignment horizontal="left" vertical="center" wrapText="1"/>
    </x:xf>
    <x:xf numFmtId="0" fontId="72" fillId="3" borderId="0" xfId="0" applyFont="1" applyFill="1" applyAlignment="1">
      <x:alignment horizontal="center" vertical="center" wrapText="1"/>
    </x:xf>
    <x:xf numFmtId="0" fontId="29" fillId="12" borderId="1" xfId="0" applyFont="1" applyFill="1" applyBorder="1" applyAlignment="1">
      <x:alignment horizontal="right" vertical="center"/>
    </x:xf>
    <x:xf numFmtId="182" fontId="72" fillId="3" borderId="1" xfId="0" applyNumberFormat="1" applyFont="1" applyFill="1" applyBorder="1" applyAlignment="1">
      <x:alignment horizontal="center" vertical="center"/>
    </x:xf>
    <x:xf numFmtId="182" fontId="72" fillId="3" borderId="0" xfId="0" applyNumberFormat="1" applyFont="1" applyFill="1" applyAlignment="1">
      <x:alignment horizontal="center" vertical="center"/>
    </x:xf>
    <x:xf numFmtId="182" fontId="69" fillId="0" borderId="12" xfId="0" applyNumberFormat="1" applyFont="1" applyBorder="1" applyAlignment="1">
      <x:alignment horizontal="center" vertical="center"/>
    </x:xf>
    <x:xf numFmtId="182" fontId="69" fillId="0" borderId="4" xfId="0" applyNumberFormat="1" applyFont="1" applyBorder="1" applyAlignment="1">
      <x:alignment horizontal="center" vertical="center"/>
    </x:xf>
    <x:xf numFmtId="0" fontId="69" fillId="0" borderId="13" xfId="0" applyFont="1" applyBorder="1" applyAlignment="1">
      <x:alignment horizontal="left" vertical="center" wrapText="1"/>
    </x:xf>
    <x:xf numFmtId="0" fontId="72" fillId="3" borderId="7" xfId="0" applyFont="1" applyFill="1" applyBorder="1" applyAlignment="1">
      <x:alignment horizontal="center" vertical="center"/>
    </x:xf>
    <x:xf numFmtId="0" fontId="72" fillId="3" borderId="5" xfId="0" applyFont="1" applyFill="1" applyBorder="1" applyAlignment="1">
      <x:alignment horizontal="left" vertical="center" wrapText="1"/>
    </x:xf>
    <x:xf numFmtId="0" fontId="7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182" fontId="10" fillId="0" borderId="0" xfId="0" applyNumberFormat="1" applyFont="1" applyAlignment="1">
      <x:alignment horizontal="center" vertical="center" wrapText="1"/>
    </x:xf>
    <x:xf numFmtId="0" fontId="78" fillId="0" borderId="1" xfId="0" applyFont="1" applyBorder="1" applyAlignment="1">
      <x:alignment horizontal="center" vertical="center" wrapText="1"/>
    </x:xf>
    <x:xf numFmtId="0" fontId="79" fillId="0" borderId="1" xfId="0" applyFont="1" applyBorder="1" applyAlignment="1">
      <x:alignment horizontal="center" vertical="center"/>
    </x:xf>
    <x:xf numFmtId="0" fontId="79" fillId="0" borderId="1" xfId="0" applyFont="1" applyBorder="1">
      <x:alignment vertical="center"/>
    </x:xf>
    <x:xf numFmtId="0" fontId="77" fillId="0" borderId="1" xfId="0" applyFont="1" applyBorder="1" applyAlignment="1">
      <x:alignment horizontal="center" vertical="center" wrapText="1"/>
    </x:xf>
    <x:xf numFmtId="0" fontId="13" fillId="16" borderId="1" xfId="0" applyFont="1" applyFill="1" applyBorder="1" applyAlignment="1">
      <x:alignment horizontal="left" vertical="center"/>
    </x:xf>
    <x:xf numFmtId="0" fontId="10" fillId="11" borderId="1" xfId="0" applyFont="1" applyFill="1" applyBorder="1" applyAlignment="1">
      <x:alignment horizontal="center" vertical="center" wrapText="1"/>
    </x:xf>
    <x:xf numFmtId="0" fontId="29" fillId="13" borderId="1" xfId="0" applyFont="1" applyFill="1" applyBorder="1" applyAlignment="1">
      <x:alignment horizontal="center" vertical="center"/>
    </x:xf>
    <x:xf numFmtId="0" fontId="10" fillId="14" borderId="1" xfId="0" applyFont="1" applyFill="1" applyBorder="1" applyAlignment="1">
      <x:alignment horizontal="center" vertical="center" wrapText="1"/>
    </x:xf>
    <x:xf numFmtId="0" fontId="29" fillId="15" borderId="1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right" vertical="center" wrapText="1"/>
    </x:xf>
    <x:xf numFmtId="0" fontId="46" fillId="0" borderId="10" xfId="0" applyFont="1" applyBorder="1" applyAlignment="1">
      <x:alignment vertical="center" wrapText="1"/>
    </x:xf>
    <x:xf numFmtId="0" fontId="29" fillId="0" borderId="14" xfId="0" applyFont="1" applyBorder="1">
      <x:alignment vertical="center"/>
    </x:xf>
    <x:xf numFmtId="0" fontId="29" fillId="0" borderId="15" xfId="0" applyFont="1" applyBorder="1">
      <x:alignment vertical="center"/>
    </x:xf>
    <x:xf numFmtId="0" fontId="13" fillId="0" borderId="1" xfId="0" applyFont="1" applyBorder="1" applyAlignment="1">
      <x:alignment horizontal="center" vertical="center" wrapText="1"/>
    </x:xf>
    <x:xf numFmtId="182" fontId="77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left" vertical="center" wrapText="1"/>
    </x:xf>
    <x:xf numFmtId="0" fontId="46" fillId="0" borderId="1" xfId="0" applyFont="1" applyBorder="1" applyAlignment="1">
      <x:alignment horizontal="left" vertical="center" wrapText="1"/>
    </x:xf>
    <x:xf numFmtId="182" fontId="13" fillId="0" borderId="1" xfId="0" applyNumberFormat="1" applyFont="1" applyBorder="1" applyAlignment="1">
      <x:alignment horizontal="center" vertical="center" wrapText="1"/>
    </x:xf>
    <x:xf numFmtId="0" fontId="29" fillId="0" borderId="8" xfId="0" applyFont="1" applyBorder="1">
      <x:alignment vertical="center"/>
    </x:xf>
    <x:xf numFmtId="0" fontId="80" fillId="0" borderId="0" xfId="0" applyFont="1">
      <x:alignment vertical="center"/>
    </x:xf>
    <x:xf numFmtId="0" fontId="81" fillId="0" borderId="1" xfId="0" applyFont="1" applyBorder="1">
      <x:alignment vertical="center"/>
    </x:xf>
    <x:xf numFmtId="0" fontId="82" fillId="0" borderId="1" xfId="0" applyFont="1" applyBorder="1">
      <x:alignment vertical="center"/>
    </x:xf>
    <x:xf numFmtId="0" fontId="83" fillId="0" borderId="1" xfId="0" applyFont="1" applyBorder="1">
      <x:alignment vertical="center"/>
    </x:xf>
    <x:xf numFmtId="0" fontId="83" fillId="0" borderId="5" xfId="0" applyFont="1" applyBorder="1" applyAlignment="1">
      <x:alignment vertical="center" wrapText="1"/>
    </x:xf>
    <x:xf numFmtId="0" fontId="29" fillId="0" borderId="6" xfId="0" applyFont="1" applyBorder="1">
      <x:alignment vertical="center"/>
    </x:xf>
    <x:xf numFmtId="0" fontId="77" fillId="0" borderId="2" xfId="0" applyFont="1" applyBorder="1" applyAlignment="1">
      <x:alignment horizontal="center" vertical="center" wrapText="1"/>
    </x:xf>
    <x:xf numFmtId="0" fontId="84" fillId="0" borderId="2" xfId="0" applyFont="1" applyBorder="1">
      <x:alignment vertical="center"/>
    </x:xf>
    <x:xf numFmtId="0" fontId="83" fillId="0" borderId="1" xfId="0" applyFont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29" fillId="11" borderId="6" xfId="0" applyFont="1" applyFill="1" applyBorder="1" applyAlignment="1">
      <x:alignment horizontal="left" vertical="center"/>
    </x:xf>
    <x:xf numFmtId="0" fontId="29" fillId="13" borderId="5" xfId="0" applyFont="1" applyFill="1" applyBorder="1" applyAlignment="1">
      <x:alignment horizontal="left" vertical="center"/>
    </x:xf>
    <x:xf numFmtId="0" fontId="29" fillId="13" borderId="6" xfId="0" applyFont="1" applyFill="1" applyBorder="1" applyAlignment="1">
      <x:alignment horizontal="left" vertical="center"/>
    </x:xf>
    <x:xf numFmtId="0" fontId="10" fillId="14" borderId="1" xfId="0" applyFont="1" applyFill="1" applyBorder="1" applyAlignment="1">
      <x:alignment horizontal="left" vertical="center" wrapText="1"/>
    </x:xf>
    <x:xf numFmtId="0" fontId="10" fillId="15" borderId="5" xfId="0" applyFont="1" applyFill="1" applyBorder="1" applyAlignment="1">
      <x:alignment horizontal="left" vertical="center" wrapText="1"/>
    </x:xf>
    <x:xf numFmtId="0" fontId="29" fillId="11" borderId="7" xfId="0" applyFont="1" applyFill="1" applyBorder="1" applyAlignment="1">
      <x:alignment horizontal="left" vertical="center"/>
    </x:xf>
    <x:xf numFmtId="0" fontId="29" fillId="13" borderId="7" xfId="0" applyFont="1" applyFill="1" applyBorder="1" applyAlignment="1">
      <x:alignment horizontal="left" vertical="center"/>
    </x:xf>
    <x:xf numFmtId="0" fontId="134" fillId="0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/>
    </x:xf>
    <x:xf numFmtId="182" fontId="134" fillId="0" borderId="1" xfId="0" applyNumberFormat="1" applyFont="1" applyFill="1" applyBorder="1" applyAlignment="1">
      <x:alignment horizontal="center" vertical="center" wrapText="1"/>
    </x:xf>
    <x:xf numFmtId="0" fontId="134" fillId="16" borderId="1" xfId="0" applyNumberFormat="1" applyFont="1" applyFill="1" applyBorder="1" applyAlignment="1">
      <x:alignment horizontal="left" vertical="center"/>
    </x:xf>
    <x:xf numFmtId="0" fontId="134" fillId="11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left" vertical="center" wrapText="1"/>
    </x:xf>
    <x:xf numFmtId="0" fontId="134" fillId="0" borderId="1" xfId="0" applyNumberFormat="1" applyFont="1" applyFill="1" applyBorder="1" applyAlignment="1">
      <x:alignment horizontal="left" vertical="center"/>
    </x:xf>
    <x:xf numFmtId="0" fontId="134" fillId="13" borderId="1" xfId="0" applyNumberFormat="1" applyFont="1" applyFill="1" applyBorder="1" applyAlignment="1">
      <x:alignment horizontal="center" vertical="center"/>
    </x:xf>
    <x:xf numFmtId="0" fontId="134" fillId="14" borderId="1" xfId="0" applyNumberFormat="1" applyFont="1" applyFill="1" applyBorder="1" applyAlignment="1">
      <x:alignment horizontal="center" vertical="center" wrapText="1"/>
    </x:xf>
    <x:xf numFmtId="182" fontId="134" fillId="0" borderId="1" xfId="0" applyNumberFormat="1" applyFont="1" applyFill="1" applyBorder="1" applyAlignment="1">
      <x:alignment horizontal="left" vertical="center" wrapText="1"/>
    </x:xf>
    <x:xf numFmtId="0" fontId="134" fillId="15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 wrapText="1"/>
    </x:xf>
    <x:xf numFmtId="0" fontId="134" fillId="0" borderId="1" xfId="0" applyNumberFormat="1" applyFont="1" applyFill="1" applyBorder="1" applyAlignment="1">
      <x:alignment horizontal="right" vertical="center" wrapText="1"/>
    </x:xf>
    <x:xf numFmtId="0" fontId="134" fillId="0" borderId="10" xfId="0" applyNumberFormat="1" applyFont="1" applyFill="1" applyBorder="1" applyAlignment="1">
      <x:alignment vertical="center" wrapText="1"/>
    </x:xf>
    <x:xf numFmtId="0" fontId="134" fillId="0" borderId="14" xfId="0" applyNumberFormat="1" applyFont="1" applyFill="1" applyBorder="1" applyAlignment="1">
      <x:alignment vertical="center"/>
    </x:xf>
    <x:xf numFmtId="0" fontId="134" fillId="16" borderId="1" xfId="0" applyNumberFormat="1" applyFont="1" applyFill="1" applyBorder="1" applyAlignment="1">
      <x:alignment horizontal="left" vertical="center" wrapText="1"/>
    </x:xf>
    <x:xf numFmtId="0" fontId="134" fillId="13" borderId="1" xfId="0" applyNumberFormat="1" applyFont="1" applyFill="1" applyBorder="1" applyAlignment="1">
      <x:alignment horizontal="center" vertical="center" wrapText="1"/>
    </x:xf>
    <x:xf numFmtId="0" fontId="134" fillId="15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vertical="center" wrapText="1"/>
    </x:xf>
    <x:xf numFmtId="0" fontId="135" fillId="48" borderId="1" xfId="0" applyNumberFormat="1" applyFont="1" applyFill="1" applyBorder="1" applyAlignment="1">
      <x:alignment horizontal="center" vertical="center" wrapText="1"/>
    </x:xf>
    <x:xf numFmtId="0" fontId="135" fillId="48" borderId="1" xfId="0" applyNumberFormat="1" applyFont="1" applyFill="1" applyBorder="1" applyAlignment="1">
      <x:alignment vertical="center" wrapText="1"/>
    </x:xf>
    <x:xf numFmtId="0" fontId="134" fillId="49" borderId="1" xfId="0" applyNumberFormat="1" applyFont="1" applyFill="1" applyBorder="1" applyAlignment="1">
      <x:alignment horizontal="center" vertical="center" wrapText="1"/>
    </x:xf>
    <x:xf numFmtId="182" fontId="134" fillId="49" borderId="1" xfId="0" applyNumberFormat="1" applyFont="1" applyFill="1" applyBorder="1" applyAlignment="1">
      <x:alignment horizontal="center" vertical="center" wrapText="1"/>
    </x:xf>
    <x:xf numFmtId="0" fontId="13" fillId="49" borderId="1" xfId="0" applyNumberFormat="1" applyFont="1" applyFill="1" applyBorder="1" applyAlignment="1">
      <x:alignment horizontal="center" vertical="center" wrapText="1"/>
    </x:xf>
    <x:xf numFmtId="182" fontId="13" fillId="49" borderId="1" xfId="0" applyNumberFormat="1" applyFont="1" applyFill="1" applyBorder="1" applyAlignment="1">
      <x:alignment horizontal="center" vertical="center" wrapText="1"/>
    </x:xf>
    <x:xf numFmtId="0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horizontal="left" vertical="center" wrapText="1"/>
    </x:xf>
    <x:xf numFmtId="182" fontId="134" fillId="49" borderId="1" xfId="0" applyNumberFormat="1" applyFont="1" applyFill="1" applyBorder="1" applyAlignment="1">
      <x:alignment horizontal="left" vertical="center" wrapText="1"/>
    </x:xf>
    <x:xf numFmtId="182" fontId="13" fillId="49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left" vertical="center" wrapText="1"/>
    </x:xf>
    <x:xf numFmtId="182" fontId="134" fillId="48" borderId="1" xfId="0" applyNumberFormat="1" applyFont="1" applyFill="1" applyBorder="1" applyAlignment="1">
      <x:alignment horizontal="center" vertical="center" wrapText="1"/>
    </x:xf>
    <x:xf numFmtId="182" fontId="134" fillId="48" borderId="1" xfId="0" applyNumberFormat="1" applyFont="1" applyFill="1" applyBorder="1" applyAlignment="1">
      <x:alignment horizontal="left" vertical="center" wrapText="1"/>
    </x:xf>
    <x:xf numFmtId="0" fontId="134" fillId="50" borderId="1" xfId="0" applyNumberFormat="1" applyFont="1" applyFill="1" applyBorder="1" applyAlignment="1">
      <x:alignment horizontal="center" vertical="center" wrapText="1"/>
    </x:xf>
    <x:xf numFmtId="0" fontId="134" fillId="51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right" vertical="center" wrapText="1"/>
    </x:xf>
    <x:xf numFmtId="0" fontId="13" fillId="48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right" vertical="center" wrapText="1"/>
    </x:xf>
    <x:xf numFmtId="182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center" vertical="center" wrapText="1"/>
    </x:xf>
    <x:xf numFmtId="200" fontId="13" fillId="49" borderId="1" xfId="0" applyNumberFormat="1" applyFont="1" applyFill="1" applyBorder="1" applyAlignment="1">
      <x:alignment horizontal="left" vertical="center" wrapText="1"/>
    </x:xf>
    <x:xf numFmtId="200" fontId="13" fillId="48" borderId="1" xfId="0" applyNumberFormat="1" applyFont="1" applyFill="1" applyBorder="1" applyAlignment="1">
      <x:alignment horizontal="right" vertical="center" wrapText="1"/>
    </x:xf>
    <x:xf numFmtId="200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afcf8a7bc4f57" /><Relationship Type="http://schemas.openxmlformats.org/officeDocument/2006/relationships/theme" Target="/xl/theme/theme1.xml" Id="R3329c244b7d042a0" /><Relationship Type="http://schemas.openxmlformats.org/officeDocument/2006/relationships/sharedStrings" Target="/xl/sharedStrings.xml" Id="Rcae49c7846fe46bb" /><Relationship Type="http://schemas.openxmlformats.org/officeDocument/2006/relationships/worksheet" Target="/xl/worksheets/sheet1.xml" Id="R2a659006f12f4bf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6.5"/>
  <x:cols>
    <x:col min="1" max="1" width="6.166666507720947" style="401" customWidth="1"/>
    <x:col min="2" max="2" width="14.958333015441895" style="401" customWidth="1"/>
    <x:col min="3" max="3" width="7.3416666984558105" style="401" customWidth="1"/>
    <x:col min="4" max="4" width="7.5" style="401" customWidth="1"/>
    <x:col min="5" max="5" width="82.85832977294922" style="402" customWidth="1"/>
    <x:col min="6" max="6" width="10" style="401" customWidth="1"/>
    <x:col min="7" max="7" width="12.166666984558105" style="401" customWidth="1"/>
    <x:col min="8" max="8" width="13" style="403" customWidth="1"/>
    <x:col min="9" max="9" width="13.983333587646484" style="403" customWidth="1"/>
    <x:col min="10" max="10" width="21.108333587646484" style="401" customWidth="1"/>
    <x:col min="11" max="31" width="8.833333015441895" style="401" customWidth="1"/>
  </x:cols>
  <x:sheetData>
    <x:row r="1" s="400" customFormat="1" ht="36" customHeight="1">
      <x:c r="A1" s="464" t="str">
        <x:v>能源管理与生产系统联动项目｜云智控产品报价表（标准价）</x:v>
      </x:c>
      <x:c r="B1" s="464"/>
      <x:c r="C1" s="464"/>
      <x:c r="D1" s="464"/>
      <x:c r="E1" s="464"/>
      <x:c r="F1" s="464"/>
      <x:c r="G1" s="464"/>
      <x:c r="H1" s="464"/>
      <x:c r="I1" s="464"/>
      <x:c r="J1" s="464"/>
      <x:c r="K1" s="407"/>
      <x:c r="L1" s="407"/>
      <x:c r="M1" s="407"/>
    </x:row>
    <x:row r="2" s="400" customFormat="1" ht="30" customHeight="1">
      <x:c r="A2" s="468" t="str">
        <x:v>序号</x:v>
      </x:c>
      <x:c r="B2" s="468" t="str">
        <x:v>模块</x:v>
      </x:c>
      <x:c r="C2" s="468" t="str">
        <x:v>数量</x:v>
      </x:c>
      <x:c r="D2" s="468" t="str">
        <x:v>单位</x:v>
      </x:c>
      <x:c r="E2" s="468" t="str">
        <x:v>功能描述</x:v>
      </x:c>
      <x:c r="F2" s="468" t="str">
        <x:v>品牌</x:v>
      </x:c>
      <x:c r="G2" s="468" t="str">
        <x:v>型号</x:v>
      </x:c>
      <x:c r="H2" s="469" t="str">
        <x:v>单价（元）</x:v>
      </x:c>
      <x:c r="I2" s="469" t="str">
        <x:v>总价（元）</x:v>
      </x:c>
      <x:c r="J2" s="468" t="str">
        <x:v>备注</x:v>
      </x:c>
      <x:c r="K2" s="407"/>
      <x:c r="L2" s="407"/>
      <x:c r="M2" s="407"/>
    </x:row>
    <x:row r="3" s="17" customFormat="1" ht="24" customHeight="1">
      <x:c r="A3" s="468" t="str">
        <x:v>一</x:v>
      </x:c>
      <x:c r="B3" s="471" t="str">
        <x:v>平台软件</x:v>
      </x:c>
      <x:c r="C3" s="471"/>
      <x:c r="D3" s="471"/>
      <x:c r="E3" s="471"/>
      <x:c r="F3" s="471"/>
      <x:c r="G3" s="471"/>
      <x:c r="H3" s="471"/>
      <x:c r="I3" s="471"/>
      <x:c r="J3" s="471"/>
      <x:c r="K3" s="153"/>
      <x:c r="L3" s="153"/>
      <x:c r="M3" s="153"/>
      <x:c r="N3" s="401"/>
      <x:c r="O3" s="401"/>
      <x:c r="P3" s="401"/>
      <x:c r="Q3" s="401"/>
      <x:c r="R3" s="401"/>
      <x:c r="S3" s="401"/>
      <x:c r="T3" s="401"/>
      <x:c r="U3" s="401"/>
      <x:c r="V3" s="401"/>
      <x:c r="W3" s="401"/>
      <x:c r="X3" s="401"/>
      <x:c r="Y3" s="401"/>
      <x:c r="Z3" s="401"/>
      <x:c r="AA3" s="401"/>
      <x:c r="AB3" s="401"/>
      <x:c r="AC3" s="401"/>
      <x:c r="AD3" s="401"/>
      <x:c r="AE3" s="401"/>
    </x:row>
    <x:row r="4" s="17" customFormat="1" ht="42" customHeight="1">
      <x:c r="A4" s="462" t="n">
        <x:v>1</x:v>
      </x:c>
      <x:c r="B4" s="477" t="str">
        <x:v>系统基础平台</x:v>
      </x:c>
      <x:c r="C4" s="462" t="n">
        <x:v>1</x:v>
      </x:c>
      <x:c r="D4" s="462" t="str">
        <x:v>套</x:v>
      </x:c>
      <x:c r="E4" s="474" t="str">
        <x:v>能源管理系统基础平台，B/S架构，包含数据监测、监控中心、报警中心、能耗统计、能源分析、系统管理等基本功能；包含1张管理大屏、3张组态或能流拓扑、3张标准报表。</x:v>
      </x:c>
      <x:c r="F4" s="462" t="str">
        <x:v>蘑菇物联</x:v>
      </x:c>
      <x:c r="G4" s="462" t="str">
        <x:v>云智控4.0</x:v>
      </x:c>
      <x:c r="H4" s="483" t="n">
        <x:v>60000</x:v>
      </x:c>
      <x:c r="I4" s="483" t="n">
        <x:f>C4*H4</x:f>
        <x:v>60000</x:v>
      </x:c>
      <x:c r="J4" s="462" t="str"/>
      <x:c r="K4" s="153"/>
      <x:c r="L4" s="153"/>
      <x:c r="M4" s="153"/>
      <x:c r="N4" s="401"/>
      <x:c r="O4" s="401"/>
      <x:c r="P4" s="401"/>
      <x:c r="Q4" s="401"/>
      <x:c r="R4" s="401"/>
      <x:c r="S4" s="401"/>
      <x:c r="T4" s="401"/>
      <x:c r="U4" s="401"/>
      <x:c r="V4" s="401"/>
      <x:c r="W4" s="401"/>
      <x:c r="X4" s="401"/>
      <x:c r="Y4" s="401"/>
      <x:c r="Z4" s="401"/>
      <x:c r="AA4" s="401"/>
      <x:c r="AB4" s="401"/>
      <x:c r="AC4" s="401"/>
      <x:c r="AD4" s="401"/>
      <x:c r="AE4" s="401"/>
    </x:row>
    <x:row r="5" s="17" customFormat="1" ht="42" customHeight="1">
      <x:c r="A5" s="462" t="n">
        <x:v>2</x:v>
      </x:c>
      <x:c r="B5" s="478" t="str">
        <x:v>数据点位</x:v>
      </x:c>
      <x:c r="C5" s="462" t="n">
        <x:v>1000</x:v>
      </x:c>
      <x:c r="D5" s="462" t="str">
        <x:v>点</x:v>
      </x:c>
      <x:c r="E5" s="474" t="str">
        <x:v>能源管理系统数据点位授权，支持本次项目范围内计量设备的数据接入、存储、展示和统计分析。</x:v>
      </x:c>
      <x:c r="F5" s="462" t="str">
        <x:v>蘑菇物联</x:v>
      </x:c>
      <x:c r="G5" s="462" t="str">
        <x:v>云智控4.0</x:v>
      </x:c>
      <x:c r="H5" s="483" t="n">
        <x:v>35</x:v>
      </x:c>
      <x:c r="I5" s="483" t="n">
        <x:f>C5*H5</x:f>
        <x:v>35000</x:v>
      </x:c>
      <x:c r="J5" s="475" t="str">
        <x:v>按本次项目范围配置</x:v>
      </x:c>
      <x:c r="K5" s="153"/>
      <x:c r="L5" s="153"/>
      <x:c r="M5" s="153"/>
      <x:c r="N5" s="401"/>
      <x:c r="O5" s="401"/>
      <x:c r="P5" s="401"/>
      <x:c r="Q5" s="401"/>
      <x:c r="R5" s="401"/>
      <x:c r="S5" s="401"/>
      <x:c r="T5" s="401"/>
      <x:c r="U5" s="401"/>
      <x:c r="V5" s="401"/>
      <x:c r="W5" s="401"/>
      <x:c r="X5" s="401"/>
      <x:c r="Y5" s="401"/>
      <x:c r="Z5" s="401"/>
      <x:c r="AA5" s="401"/>
      <x:c r="AB5" s="401"/>
      <x:c r="AC5" s="401"/>
      <x:c r="AD5" s="401"/>
      <x:c r="AE5" s="401"/>
    </x:row>
    <x:row r="6" s="17" customFormat="1" ht="42" customHeight="1">
      <x:c r="A6" s="462" t="n">
        <x:v>3</x:v>
      </x:c>
      <x:c r="B6" s="462" t="str">
        <x:v>MES双向数据接口</x:v>
      </x:c>
      <x:c r="C6" s="462" t="n">
        <x:v>1</x:v>
      </x:c>
      <x:c r="D6" s="462" t="str">
        <x:v>项</x:v>
      </x:c>
      <x:c r="E6" s="476" t="str">
        <x:v>涉及生产数据读取及结果写回，需结合接口文档、字段和业务流程专项评估。</x:v>
      </x:c>
      <x:c r="F6" s="462" t="str"/>
      <x:c r="G6" s="462" t="str"/>
      <x:c r="H6" s="483" t="str">
        <x:v>专项评估</x:v>
      </x:c>
      <x:c r="I6" s="483"/>
      <x:c r="J6" s="462" t="str">
        <x:v>未计入合计</x:v>
      </x:c>
      <x:c r="K6" s="153"/>
      <x:c r="L6" s="153"/>
      <x:c r="M6" s="153"/>
      <x:c r="N6" s="401"/>
      <x:c r="O6" s="401"/>
      <x:c r="P6" s="401"/>
      <x:c r="Q6" s="401"/>
      <x:c r="R6" s="401"/>
      <x:c r="S6" s="401"/>
      <x:c r="T6" s="401"/>
      <x:c r="U6" s="401"/>
      <x:c r="V6" s="401"/>
      <x:c r="W6" s="401"/>
      <x:c r="X6" s="401"/>
      <x:c r="Y6" s="401"/>
      <x:c r="Z6" s="401"/>
      <x:c r="AA6" s="401"/>
      <x:c r="AB6" s="401"/>
      <x:c r="AC6" s="401"/>
      <x:c r="AD6" s="401"/>
      <x:c r="AE6" s="401"/>
    </x:row>
    <x:row r="7" s="17" customFormat="1" ht="42" customHeight="1">
      <x:c r="A7" s="462" t="n">
        <x:v>4</x:v>
      </x:c>
      <x:c r="B7" s="462" t="str">
        <x:v>DCS控制接口</x:v>
      </x:c>
      <x:c r="C7" s="462" t="n">
        <x:v>1</x:v>
      </x:c>
      <x:c r="D7" s="462" t="str">
        <x:v>项</x:v>
      </x:c>
      <x:c r="E7" s="476" t="str">
        <x:v>涉及控制指令和启停联动，需先确认控制权限、安全边界和验收条件。</x:v>
      </x:c>
      <x:c r="F7" s="462" t="str"/>
      <x:c r="G7" s="462" t="str"/>
      <x:c r="H7" s="483" t="str">
        <x:v>专项评估</x:v>
      </x:c>
      <x:c r="I7" s="483"/>
      <x:c r="J7" s="462" t="str">
        <x:v>未计入合计</x:v>
      </x:c>
      <x:c r="K7" s="153"/>
      <x:c r="L7" s="153"/>
      <x:c r="M7" s="153"/>
      <x:c r="N7" s="401"/>
      <x:c r="O7" s="401"/>
      <x:c r="P7" s="401"/>
      <x:c r="Q7" s="401"/>
      <x:c r="R7" s="401"/>
      <x:c r="S7" s="401"/>
      <x:c r="T7" s="401"/>
      <x:c r="U7" s="401"/>
      <x:c r="V7" s="401"/>
      <x:c r="W7" s="401"/>
      <x:c r="X7" s="401"/>
      <x:c r="Y7" s="401"/>
      <x:c r="Z7" s="401"/>
      <x:c r="AA7" s="401"/>
      <x:c r="AB7" s="401"/>
      <x:c r="AC7" s="401"/>
      <x:c r="AD7" s="401"/>
      <x:c r="AE7" s="401"/>
    </x:row>
    <x:row r="8" s="17" customFormat="1" ht="42" customHeight="1">
      <x:c r="A8" s="462" t="n">
        <x:v>5</x:v>
      </x:c>
      <x:c r="B8" s="462" t="str">
        <x:v>策略优化与自动执行</x:v>
      </x:c>
      <x:c r="C8" s="462" t="n">
        <x:v>1</x:v>
      </x:c>
      <x:c r="D8" s="462" t="str">
        <x:v>项</x:v>
      </x:c>
      <x:c r="E8" s="476" t="str">
        <x:v>需求超出标准能管的数据采集、监测、统计和报表范围，需专项方案及产品评估。</x:v>
      </x:c>
      <x:c r="F8" s="462" t="str"/>
      <x:c r="G8" s="462" t="str"/>
      <x:c r="H8" s="483" t="str">
        <x:v>专项评估</x:v>
      </x:c>
      <x:c r="I8" s="483"/>
      <x:c r="J8" s="462" t="str">
        <x:v>未计入合计</x:v>
      </x:c>
      <x:c r="K8" s="153"/>
      <x:c r="L8" s="153"/>
      <x:c r="M8" s="153"/>
      <x:c r="N8" s="401"/>
      <x:c r="O8" s="401"/>
      <x:c r="P8" s="401"/>
      <x:c r="Q8" s="401"/>
      <x:c r="R8" s="401"/>
      <x:c r="S8" s="401"/>
      <x:c r="T8" s="401"/>
      <x:c r="U8" s="401"/>
      <x:c r="V8" s="401"/>
      <x:c r="W8" s="401"/>
      <x:c r="X8" s="401"/>
      <x:c r="Y8" s="401"/>
      <x:c r="Z8" s="401"/>
      <x:c r="AA8" s="401"/>
      <x:c r="AB8" s="401"/>
      <x:c r="AC8" s="401"/>
      <x:c r="AD8" s="401"/>
      <x:c r="AE8" s="401"/>
    </x:row>
    <x:row r="9" s="17" customFormat="1" ht="24" customHeight="1">
      <x:c r="A9" s="462" t="str">
        <x:v>小计</x:v>
      </x:c>
      <x:c r="B9" s="462"/>
      <x:c r="C9" s="462"/>
      <x:c r="D9" s="462"/>
      <x:c r="E9" s="475"/>
      <x:c r="F9" s="462"/>
      <x:c r="G9" s="462"/>
      <x:c r="H9" s="483"/>
      <x:c r="I9" s="483" t="n">
        <x:f>SUM(I4:I8)</x:f>
        <x:v>95000</x:v>
      </x:c>
      <x:c r="J9" s="462"/>
      <x:c r="K9" s="153"/>
      <x:c r="L9" s="153"/>
      <x:c r="M9" s="153"/>
      <x:c r="N9" s="401"/>
      <x:c r="O9" s="401"/>
      <x:c r="P9" s="401"/>
      <x:c r="Q9" s="401"/>
      <x:c r="R9" s="401"/>
      <x:c r="S9" s="401"/>
      <x:c r="T9" s="401"/>
      <x:c r="U9" s="401"/>
      <x:c r="V9" s="401"/>
      <x:c r="W9" s="401"/>
      <x:c r="X9" s="401"/>
      <x:c r="Y9" s="401"/>
      <x:c r="Z9" s="401"/>
      <x:c r="AA9" s="401"/>
      <x:c r="AB9" s="401"/>
      <x:c r="AC9" s="401"/>
      <x:c r="AD9" s="401"/>
      <x:c r="AE9" s="401"/>
    </x:row>
    <x:row r="10" s="17" customFormat="1" ht="24" customHeight="1">
      <x:c r="A10" s="468" t="str">
        <x:v>二</x:v>
      </x:c>
      <x:c r="B10" s="471" t="str">
        <x:v>硬件设备及仪表</x:v>
      </x:c>
      <x:c r="C10" s="471"/>
      <x:c r="D10" s="471"/>
      <x:c r="E10" s="473"/>
      <x:c r="F10" s="471"/>
      <x:c r="G10" s="471"/>
      <x:c r="H10" s="484"/>
      <x:c r="I10" s="484"/>
      <x:c r="J10" s="471"/>
      <x:c r="K10" s="153"/>
      <x:c r="L10" s="153"/>
      <x:c r="M10" s="153"/>
      <x:c r="N10" s="401"/>
      <x:c r="O10" s="401"/>
      <x:c r="P10" s="401"/>
      <x:c r="Q10" s="401"/>
      <x:c r="R10" s="401"/>
      <x:c r="S10" s="401"/>
      <x:c r="T10" s="401"/>
      <x:c r="U10" s="401"/>
      <x:c r="V10" s="401"/>
      <x:c r="W10" s="401"/>
      <x:c r="X10" s="401"/>
      <x:c r="Y10" s="401"/>
      <x:c r="Z10" s="401"/>
      <x:c r="AA10" s="401"/>
      <x:c r="AB10" s="401"/>
      <x:c r="AC10" s="401"/>
      <x:c r="AD10" s="401"/>
      <x:c r="AE10" s="401"/>
    </x:row>
    <x:row r="11" s="17" customFormat="1" ht="42" customHeight="1">
      <x:c r="A11" s="462" t="n">
        <x:v>1</x:v>
      </x:c>
      <x:c r="B11" s="462" t="str">
        <x:v>能管云盒</x:v>
      </x:c>
      <x:c r="C11" s="462" t="n">
        <x:v>20</x:v>
      </x:c>
      <x:c r="D11" s="462" t="str">
        <x:v>个</x:v>
      </x:c>
      <x:c r="E11" s="476" t="str">
        <x:v>用于现场计量设备的数据采集、协议转换和数据上传。</x:v>
      </x:c>
      <x:c r="F11" s="462" t="str">
        <x:v>蘑菇物联</x:v>
      </x:c>
      <x:c r="G11" s="462" t="str">
        <x:v>MAXW4-C1LN</x:v>
      </x:c>
      <x:c r="H11" s="483" t="n">
        <x:v>1200</x:v>
      </x:c>
      <x:c r="I11" s="483" t="n">
        <x:f>C11*H11</x:f>
        <x:v>24000</x:v>
      </x:c>
      <x:c r="J11" s="462" t="str"/>
      <x:c r="K11" s="153"/>
      <x:c r="L11" s="153"/>
      <x:c r="M11" s="153"/>
      <x:c r="N11" s="401"/>
      <x:c r="O11" s="401"/>
      <x:c r="P11" s="401"/>
      <x:c r="Q11" s="401"/>
      <x:c r="R11" s="401"/>
      <x:c r="S11" s="401"/>
      <x:c r="T11" s="401"/>
      <x:c r="U11" s="401"/>
      <x:c r="V11" s="401"/>
      <x:c r="W11" s="401"/>
      <x:c r="X11" s="401"/>
      <x:c r="Y11" s="401"/>
      <x:c r="Z11" s="401"/>
      <x:c r="AA11" s="401"/>
      <x:c r="AB11" s="401"/>
      <x:c r="AC11" s="401"/>
      <x:c r="AD11" s="401"/>
      <x:c r="AE11" s="401"/>
    </x:row>
    <x:row r="12" s="17" customFormat="1" ht="42" customHeight="1">
      <x:c r="A12" s="462" t="n">
        <x:v>2</x:v>
      </x:c>
      <x:c r="B12" s="462" t="str">
        <x:v>通讯箱</x:v>
      </x:c>
      <x:c r="C12" s="462" t="n">
        <x:v>20</x:v>
      </x:c>
      <x:c r="D12" s="462" t="str">
        <x:v>个</x:v>
      </x:c>
      <x:c r="E12" s="474" t="str">
        <x:v>用于能管云盒、电源及保护器件的现场安装和防护。</x:v>
      </x:c>
      <x:c r="F12" s="462" t="str">
        <x:v>蘑菇物联</x:v>
      </x:c>
      <x:c r="G12" s="462" t="str">
        <x:v>MG-3号电箱</x:v>
      </x:c>
      <x:c r="H12" s="483" t="n">
        <x:v>150</x:v>
      </x:c>
      <x:c r="I12" s="483" t="n">
        <x:f>C12*H12</x:f>
        <x:v>3000</x:v>
      </x:c>
      <x:c r="J12" s="462" t="str"/>
      <x:c r="K12" s="153"/>
      <x:c r="L12" s="153"/>
      <x:c r="M12" s="153"/>
      <x:c r="N12" s="401"/>
      <x:c r="O12" s="401"/>
      <x:c r="P12" s="401"/>
      <x:c r="Q12" s="401"/>
      <x:c r="R12" s="401"/>
      <x:c r="S12" s="401"/>
      <x:c r="T12" s="401"/>
      <x:c r="U12" s="401"/>
      <x:c r="V12" s="401"/>
      <x:c r="W12" s="401"/>
      <x:c r="X12" s="401"/>
      <x:c r="Y12" s="401"/>
      <x:c r="Z12" s="401"/>
      <x:c r="AA12" s="401"/>
      <x:c r="AB12" s="401"/>
      <x:c r="AC12" s="401"/>
      <x:c r="AD12" s="401"/>
      <x:c r="AE12" s="401"/>
    </x:row>
    <x:row r="13" s="17" customFormat="1" ht="42" customHeight="1">
      <x:c r="A13" s="462" t="n">
        <x:v>3</x:v>
      </x:c>
      <x:c r="B13" s="462" t="str">
        <x:v>开关电源</x:v>
      </x:c>
      <x:c r="C13" s="462" t="n">
        <x:v>20</x:v>
      </x:c>
      <x:c r="D13" s="462" t="str">
        <x:v>个</x:v>
      </x:c>
      <x:c r="E13" s="474" t="str">
        <x:v>DC24V导轨式电源，为现场采集设备提供稳定供电。</x:v>
      </x:c>
      <x:c r="F13" s="462" t="str">
        <x:v>金升阳</x:v>
      </x:c>
      <x:c r="G13" s="462" t="str">
        <x:v>LI30-20B24PR2</x:v>
      </x:c>
      <x:c r="H13" s="483" t="n">
        <x:v>92</x:v>
      </x:c>
      <x:c r="I13" s="483" t="n">
        <x:f>C13*H13</x:f>
        <x:v>1840</x:v>
      </x:c>
      <x:c r="J13" s="462" t="str"/>
      <x:c r="K13" s="153"/>
      <x:c r="L13" s="153"/>
      <x:c r="M13" s="153"/>
      <x:c r="N13" s="401"/>
      <x:c r="O13" s="401"/>
      <x:c r="P13" s="401"/>
      <x:c r="Q13" s="401"/>
      <x:c r="R13" s="401"/>
      <x:c r="S13" s="401"/>
      <x:c r="T13" s="401"/>
      <x:c r="U13" s="401"/>
      <x:c r="V13" s="401"/>
      <x:c r="W13" s="401"/>
      <x:c r="X13" s="401"/>
      <x:c r="Y13" s="401"/>
      <x:c r="Z13" s="401"/>
      <x:c r="AA13" s="401"/>
      <x:c r="AB13" s="401"/>
      <x:c r="AC13" s="401"/>
      <x:c r="AD13" s="401"/>
      <x:c r="AE13" s="401"/>
    </x:row>
    <x:row r="14" s="17" customFormat="1" ht="42" customHeight="1">
      <x:c r="A14" s="462" t="n">
        <x:v>4</x:v>
      </x:c>
      <x:c r="B14" s="462" t="str">
        <x:v>空气开关</x:v>
      </x:c>
      <x:c r="C14" s="462" t="n">
        <x:v>20</x:v>
      </x:c>
      <x:c r="D14" s="462" t="str">
        <x:v>个</x:v>
      </x:c>
      <x:c r="E14" s="474" t="str">
        <x:v>2P导轨式空气开关，用于通讯箱供电回路保护。</x:v>
      </x:c>
      <x:c r="F14" s="462" t="str">
        <x:v>施耐德</x:v>
      </x:c>
      <x:c r="G14" s="462" t="str">
        <x:v>2P/10A</x:v>
      </x:c>
      <x:c r="H14" s="483" t="n">
        <x:v>68</x:v>
      </x:c>
      <x:c r="I14" s="483" t="n">
        <x:f>C14*H14</x:f>
        <x:v>1360</x:v>
      </x:c>
      <x:c r="J14" s="462" t="str"/>
      <x:c r="K14" s="153"/>
      <x:c r="L14" s="153"/>
      <x:c r="M14" s="153"/>
      <x:c r="N14" s="401"/>
      <x:c r="O14" s="401"/>
      <x:c r="P14" s="401"/>
      <x:c r="Q14" s="401"/>
      <x:c r="R14" s="401"/>
      <x:c r="S14" s="401"/>
      <x:c r="T14" s="401"/>
      <x:c r="U14" s="401"/>
      <x:c r="V14" s="401"/>
      <x:c r="W14" s="401"/>
      <x:c r="X14" s="401"/>
      <x:c r="Y14" s="401"/>
      <x:c r="Z14" s="401"/>
      <x:c r="AA14" s="401"/>
      <x:c r="AB14" s="401"/>
      <x:c r="AC14" s="401"/>
      <x:c r="AD14" s="401"/>
      <x:c r="AE14" s="401"/>
    </x:row>
    <x:row r="15" s="17" customFormat="1" ht="42" customHeight="1">
      <x:c r="A15" s="462" t="n">
        <x:v>5</x:v>
      </x:c>
      <x:c r="B15" s="462" t="str">
        <x:v>屏蔽双绞线</x:v>
      </x:c>
      <x:c r="C15" s="462" t="n">
        <x:v>270</x:v>
      </x:c>
      <x:c r="D15" s="462" t="str">
        <x:v>米</x:v>
      </x:c>
      <x:c r="E15" s="474" t="str">
        <x:v>用于现场计量设备RS485通讯接线。</x:v>
      </x:c>
      <x:c r="F15" s="462" t="str">
        <x:v>国产优质</x:v>
      </x:c>
      <x:c r="G15" s="462" t="str">
        <x:v>RVSP2*1.0</x:v>
      </x:c>
      <x:c r="H15" s="483" t="n">
        <x:v>6.375</x:v>
      </x:c>
      <x:c r="I15" s="483" t="n">
        <x:f>C15*H15</x:f>
        <x:v>1721.25</x:v>
      </x:c>
      <x:c r="J15" s="462" t="str">
        <x:v>暂估</x:v>
      </x:c>
      <x:c r="K15" s="153"/>
      <x:c r="L15" s="153"/>
      <x:c r="M15" s="153"/>
      <x:c r="N15" s="401"/>
      <x:c r="O15" s="401"/>
      <x:c r="P15" s="401"/>
      <x:c r="Q15" s="401"/>
      <x:c r="R15" s="401"/>
      <x:c r="S15" s="401"/>
      <x:c r="T15" s="401"/>
      <x:c r="U15" s="401"/>
      <x:c r="V15" s="401"/>
      <x:c r="W15" s="401"/>
      <x:c r="X15" s="401"/>
      <x:c r="Y15" s="401"/>
      <x:c r="Z15" s="401"/>
      <x:c r="AA15" s="401"/>
      <x:c r="AB15" s="401"/>
      <x:c r="AC15" s="401"/>
      <x:c r="AD15" s="401"/>
      <x:c r="AE15" s="401"/>
    </x:row>
    <x:row r="16" s="17" customFormat="1" ht="42" customHeight="1">
      <x:c r="A16" s="462" t="n">
        <x:v>6</x:v>
      </x:c>
      <x:c r="B16" s="462" t="str">
        <x:v>电源线</x:v>
      </x:c>
      <x:c r="C16" s="462" t="n">
        <x:v>400</x:v>
      </x:c>
      <x:c r="D16" s="462" t="str">
        <x:v>米</x:v>
      </x:c>
      <x:c r="E16" s="474" t="str">
        <x:v>用于通讯箱、能管云盒及相关设备供电接线。</x:v>
      </x:c>
      <x:c r="F16" s="462" t="str">
        <x:v>国产优质</x:v>
      </x:c>
      <x:c r="G16" s="462" t="str">
        <x:v>RVV3*1.5</x:v>
      </x:c>
      <x:c r="H16" s="483" t="n">
        <x:v>7.5</x:v>
      </x:c>
      <x:c r="I16" s="483" t="n">
        <x:f>C16*H16</x:f>
        <x:v>3000</x:v>
      </x:c>
      <x:c r="J16" s="462" t="str">
        <x:v>暂估</x:v>
      </x:c>
      <x:c r="K16" s="153"/>
      <x:c r="L16" s="153"/>
      <x:c r="M16" s="153"/>
      <x:c r="N16" s="401"/>
      <x:c r="O16" s="401"/>
      <x:c r="P16" s="401"/>
      <x:c r="Q16" s="401"/>
      <x:c r="R16" s="401"/>
      <x:c r="S16" s="401"/>
      <x:c r="T16" s="401"/>
      <x:c r="U16" s="401"/>
      <x:c r="V16" s="401"/>
      <x:c r="W16" s="401"/>
      <x:c r="X16" s="401"/>
      <x:c r="Y16" s="401"/>
      <x:c r="Z16" s="401"/>
      <x:c r="AA16" s="401"/>
      <x:c r="AB16" s="401"/>
      <x:c r="AC16" s="401"/>
      <x:c r="AD16" s="401"/>
      <x:c r="AE16" s="401"/>
    </x:row>
    <x:row r="17" s="17" customFormat="1" ht="24" customHeight="1">
      <x:c r="A17" s="462" t="str">
        <x:v>小计</x:v>
      </x:c>
      <x:c r="B17" s="462"/>
      <x:c r="C17" s="462"/>
      <x:c r="D17" s="462"/>
      <x:c r="E17" s="462"/>
      <x:c r="F17" s="462"/>
      <x:c r="G17" s="462"/>
      <x:c r="H17" s="483"/>
      <x:c r="I17" s="483" t="n">
        <x:f>SUM(I11:I16)</x:f>
        <x:v>34921.25</x:v>
      </x:c>
      <x:c r="J17" s="462"/>
      <x:c r="K17" s="153"/>
      <x:c r="L17" s="153"/>
      <x:c r="M17" s="153"/>
      <x:c r="N17" s="401"/>
      <x:c r="O17" s="401"/>
      <x:c r="P17" s="401"/>
      <x:c r="Q17" s="401"/>
      <x:c r="R17" s="401"/>
      <x:c r="S17" s="401"/>
      <x:c r="T17" s="401"/>
      <x:c r="U17" s="401"/>
      <x:c r="V17" s="401"/>
      <x:c r="W17" s="401"/>
      <x:c r="X17" s="401"/>
      <x:c r="Y17" s="401"/>
      <x:c r="Z17" s="401"/>
      <x:c r="AA17" s="401"/>
      <x:c r="AB17" s="401"/>
      <x:c r="AC17" s="401"/>
      <x:c r="AD17" s="401"/>
      <x:c r="AE17" s="401"/>
    </x:row>
    <x:row r="18" s="17" customFormat="1" ht="24" customHeight="1">
      <x:c r="A18" s="468" t="str">
        <x:v>三</x:v>
      </x:c>
      <x:c r="B18" s="471" t="str">
        <x:v>施工及调试</x:v>
      </x:c>
      <x:c r="C18" s="471"/>
      <x:c r="D18" s="471"/>
      <x:c r="E18" s="471"/>
      <x:c r="F18" s="471"/>
      <x:c r="G18" s="471"/>
      <x:c r="H18" s="484"/>
      <x:c r="I18" s="484"/>
      <x:c r="J18" s="471"/>
      <x:c r="K18" s="153"/>
      <x:c r="L18" s="153"/>
      <x:c r="M18" s="153"/>
      <x:c r="N18" s="401"/>
      <x:c r="O18" s="401"/>
      <x:c r="P18" s="401"/>
      <x:c r="Q18" s="401"/>
      <x:c r="R18" s="401"/>
      <x:c r="S18" s="401"/>
      <x:c r="T18" s="401"/>
      <x:c r="U18" s="401"/>
      <x:c r="V18" s="401"/>
      <x:c r="W18" s="401"/>
      <x:c r="X18" s="401"/>
      <x:c r="Y18" s="401"/>
      <x:c r="Z18" s="401"/>
      <x:c r="AA18" s="401"/>
      <x:c r="AB18" s="401"/>
      <x:c r="AC18" s="401"/>
      <x:c r="AD18" s="401"/>
      <x:c r="AE18" s="401"/>
    </x:row>
    <x:row r="19" s="17" customFormat="1" ht="42" customHeight="1">
      <x:c r="A19" s="462" t="n">
        <x:v>1</x:v>
      </x:c>
      <x:c r="B19" s="462" t="str">
        <x:v>通讯箱安装</x:v>
      </x:c>
      <x:c r="C19" s="462" t="n">
        <x:v>20</x:v>
      </x:c>
      <x:c r="D19" s="462" t="str">
        <x:v>台</x:v>
      </x:c>
      <x:c r="E19" s="474" t="str">
        <x:v>通讯箱现场挂墙安装、固定及箱内设备安装。</x:v>
      </x:c>
      <x:c r="F19" s="462" t="str"/>
      <x:c r="G19" s="462" t="str"/>
      <x:c r="H19" s="483" t="n">
        <x:v>350</x:v>
      </x:c>
      <x:c r="I19" s="483" t="n">
        <x:f>C19*H19</x:f>
        <x:v>7000</x:v>
      </x:c>
      <x:c r="J19" s="462" t="str"/>
      <x:c r="K19" s="153"/>
      <x:c r="L19" s="153"/>
      <x:c r="M19" s="153"/>
      <x:c r="N19" s="401"/>
      <x:c r="O19" s="401"/>
      <x:c r="P19" s="401"/>
      <x:c r="Q19" s="401"/>
      <x:c r="R19" s="401"/>
      <x:c r="S19" s="401"/>
      <x:c r="T19" s="401"/>
      <x:c r="U19" s="401"/>
      <x:c r="V19" s="401"/>
      <x:c r="W19" s="401"/>
      <x:c r="X19" s="401"/>
      <x:c r="Y19" s="401"/>
      <x:c r="Z19" s="401"/>
      <x:c r="AA19" s="401"/>
      <x:c r="AB19" s="401"/>
      <x:c r="AC19" s="401"/>
      <x:c r="AD19" s="401"/>
      <x:c r="AE19" s="401"/>
    </x:row>
    <x:row r="20" s="17" customFormat="1" ht="42" customHeight="1">
      <x:c r="A20" s="462" t="n">
        <x:v>2</x:v>
      </x:c>
      <x:c r="B20" s="462" t="str">
        <x:v>集中区域通讯线敷设</x:v>
      </x:c>
      <x:c r="C20" s="462" t="n">
        <x:v>90</x:v>
      </x:c>
      <x:c r="D20" s="462" t="str">
        <x:v>点</x:v>
      </x:c>
      <x:c r="E20" s="474" t="str">
        <x:v>配电房、站房、水表区域等集中区域计量设备通讯线敷设。</x:v>
      </x:c>
      <x:c r="F20" s="462" t="str"/>
      <x:c r="G20" s="462" t="str"/>
      <x:c r="H20" s="483" t="n">
        <x:v>100</x:v>
      </x:c>
      <x:c r="I20" s="483" t="n">
        <x:f>C20*H20</x:f>
        <x:v>9000</x:v>
      </x:c>
      <x:c r="J20" s="462" t="str"/>
      <x:c r="K20" s="153"/>
      <x:c r="L20" s="153"/>
      <x:c r="M20" s="153"/>
      <x:c r="N20" s="401"/>
      <x:c r="O20" s="401"/>
      <x:c r="P20" s="401"/>
      <x:c r="Q20" s="401"/>
      <x:c r="R20" s="401"/>
      <x:c r="S20" s="401"/>
      <x:c r="T20" s="401"/>
      <x:c r="U20" s="401"/>
      <x:c r="V20" s="401"/>
      <x:c r="W20" s="401"/>
      <x:c r="X20" s="401"/>
      <x:c r="Y20" s="401"/>
      <x:c r="Z20" s="401"/>
      <x:c r="AA20" s="401"/>
      <x:c r="AB20" s="401"/>
      <x:c r="AC20" s="401"/>
      <x:c r="AD20" s="401"/>
      <x:c r="AE20" s="401"/>
    </x:row>
    <x:row r="21" s="17" customFormat="1" ht="42" customHeight="1">
      <x:c r="A21" s="462" t="n">
        <x:v>3</x:v>
      </x:c>
      <x:c r="B21" s="462" t="str">
        <x:v>系统调试及培训</x:v>
      </x:c>
      <x:c r="C21" s="462" t="n">
        <x:v>20</x:v>
      </x:c>
      <x:c r="D21" s="462" t="str">
        <x:v>人天</x:v>
      </x:c>
      <x:c r="E21" s="474" t="str">
        <x:v>含现场设备接入、系统联调、基础培训及交付配合。</x:v>
      </x:c>
      <x:c r="F21" s="462" t="str"/>
      <x:c r="G21" s="462" t="str"/>
      <x:c r="H21" s="483" t="n">
        <x:v>2000</x:v>
      </x:c>
      <x:c r="I21" s="483" t="n">
        <x:f>C21*H21</x:f>
        <x:v>40000</x:v>
      </x:c>
      <x:c r="J21" s="462" t="str"/>
      <x:c r="K21" s="153"/>
      <x:c r="L21" s="153"/>
      <x:c r="M21" s="153"/>
      <x:c r="N21" s="401"/>
      <x:c r="O21" s="401"/>
      <x:c r="P21" s="401"/>
      <x:c r="Q21" s="401"/>
      <x:c r="R21" s="401"/>
      <x:c r="S21" s="401"/>
      <x:c r="T21" s="401"/>
      <x:c r="U21" s="401"/>
      <x:c r="V21" s="401"/>
      <x:c r="W21" s="401"/>
      <x:c r="X21" s="401"/>
      <x:c r="Y21" s="401"/>
      <x:c r="Z21" s="401"/>
      <x:c r="AA21" s="401"/>
      <x:c r="AB21" s="401"/>
      <x:c r="AC21" s="401"/>
      <x:c r="AD21" s="401"/>
      <x:c r="AE21" s="401"/>
    </x:row>
    <x:row r="22" s="17" customFormat="1" ht="24" customHeight="1">
      <x:c r="A22" s="462" t="str">
        <x:v>小计</x:v>
      </x:c>
      <x:c r="B22" s="462"/>
      <x:c r="C22" s="462"/>
      <x:c r="D22" s="462"/>
      <x:c r="E22" s="462"/>
      <x:c r="F22" s="462"/>
      <x:c r="G22" s="462"/>
      <x:c r="H22" s="483"/>
      <x:c r="I22" s="483" t="n">
        <x:f>SUM(I19:I21)</x:f>
        <x:v>56000</x:v>
      </x:c>
      <x:c r="J22" s="462"/>
      <x:c r="K22" s="153"/>
      <x:c r="L22" s="153"/>
      <x:c r="M22" s="153"/>
      <x:c r="N22" s="401"/>
      <x:c r="O22" s="401"/>
      <x:c r="P22" s="401"/>
      <x:c r="Q22" s="401"/>
      <x:c r="R22" s="401"/>
      <x:c r="S22" s="401"/>
      <x:c r="T22" s="401"/>
      <x:c r="U22" s="401"/>
      <x:c r="V22" s="401"/>
      <x:c r="W22" s="401"/>
      <x:c r="X22" s="401"/>
      <x:c r="Y22" s="401"/>
      <x:c r="Z22" s="401"/>
      <x:c r="AA22" s="401"/>
      <x:c r="AB22" s="401"/>
      <x:c r="AC22" s="401"/>
      <x:c r="AD22" s="401"/>
      <x:c r="AE22" s="401"/>
    </x:row>
    <x:row r="23" s="17" customFormat="1" ht="24" customHeight="1">
      <x:c r="A23" s="468" t="str">
        <x:v>四</x:v>
      </x:c>
      <x:c r="B23" s="471" t="str">
        <x:v>税费（软硬件13%，施工调试6%）</x:v>
      </x:c>
      <x:c r="C23" s="471"/>
      <x:c r="D23" s="471"/>
      <x:c r="E23" s="471"/>
      <x:c r="F23" s="471"/>
      <x:c r="G23" s="471"/>
      <x:c r="H23" s="484"/>
      <x:c r="I23" s="484"/>
      <x:c r="J23" s="471"/>
      <x:c r="K23" s="153"/>
      <x:c r="L23" s="153"/>
      <x:c r="M23" s="153"/>
      <x:c r="N23" s="401"/>
      <x:c r="O23" s="401"/>
      <x:c r="P23" s="401"/>
      <x:c r="Q23" s="401"/>
      <x:c r="R23" s="401"/>
      <x:c r="S23" s="401"/>
      <x:c r="T23" s="401"/>
      <x:c r="U23" s="401"/>
      <x:c r="V23" s="401"/>
      <x:c r="W23" s="401"/>
      <x:c r="X23" s="401"/>
      <x:c r="Y23" s="401"/>
      <x:c r="Z23" s="401"/>
      <x:c r="AA23" s="401"/>
      <x:c r="AB23" s="401"/>
      <x:c r="AC23" s="401"/>
      <x:c r="AD23" s="401"/>
      <x:c r="AE23" s="401"/>
    </x:row>
    <x:row r="24" s="17" customFormat="1" ht="42" customHeight="1">
      <x:c r="A24" s="462" t="n">
        <x:v>1</x:v>
      </x:c>
      <x:c r="B24" s="462" t="str">
        <x:v>已含增值税</x:v>
      </x:c>
      <x:c r="C24" s="462" t="n">
        <x:v>1</x:v>
      </x:c>
      <x:c r="D24" s="462" t="str">
        <x:v>项</x:v>
      </x:c>
      <x:c r="E24" s="474" t="str">
        <x:v>软件及硬件价格已含13%增值税，施工及调试价格已含6%增值税，本项仅列示税额，不重复计入总价。</x:v>
      </x:c>
      <x:c r="F24" s="462" t="str"/>
      <x:c r="G24" s="462" t="str"/>
      <x:c r="H24" s="483" t="str">
        <x:v>/</x:v>
      </x:c>
      <x:c r="I24" s="483" t="n">
        <x:f>(I9+I17)*13/113+I22*6/106</x:f>
        <x:v>18116.503798630823</x:v>
      </x:c>
      <x:c r="J24" s="462" t="str">
        <x:v>已含，不另计</x:v>
      </x:c>
      <x:c r="K24" s="153"/>
      <x:c r="L24" s="153"/>
      <x:c r="M24" s="153"/>
      <x:c r="N24" s="401"/>
      <x:c r="O24" s="401"/>
      <x:c r="P24" s="401"/>
      <x:c r="Q24" s="401"/>
      <x:c r="R24" s="401"/>
      <x:c r="S24" s="401"/>
      <x:c r="T24" s="401"/>
      <x:c r="U24" s="401"/>
      <x:c r="V24" s="401"/>
      <x:c r="W24" s="401"/>
      <x:c r="X24" s="401"/>
      <x:c r="Y24" s="401"/>
      <x:c r="Z24" s="401"/>
      <x:c r="AA24" s="401"/>
      <x:c r="AB24" s="401"/>
      <x:c r="AC24" s="401"/>
      <x:c r="AD24" s="401"/>
      <x:c r="AE24" s="401"/>
    </x:row>
    <x:row r="25" s="17" customFormat="1" ht="24" customHeight="1">
      <x:c r="A25" s="462" t="str">
        <x:v>税额小计（已含）</x:v>
      </x:c>
      <x:c r="B25" s="462"/>
      <x:c r="C25" s="462"/>
      <x:c r="D25" s="462"/>
      <x:c r="E25" s="462"/>
      <x:c r="F25" s="462"/>
      <x:c r="G25" s="462"/>
      <x:c r="H25" s="483"/>
      <x:c r="I25" s="483" t="n">
        <x:f>I24</x:f>
        <x:v>18116.503798630823</x:v>
      </x:c>
      <x:c r="J25" s="462"/>
      <x:c r="K25" s="153"/>
      <x:c r="L25" s="153"/>
      <x:c r="M25" s="153"/>
      <x:c r="N25" s="401"/>
      <x:c r="O25" s="401"/>
      <x:c r="P25" s="401"/>
      <x:c r="Q25" s="401"/>
      <x:c r="R25" s="401"/>
      <x:c r="S25" s="401"/>
      <x:c r="T25" s="401"/>
      <x:c r="U25" s="401"/>
      <x:c r="V25" s="401"/>
      <x:c r="W25" s="401"/>
      <x:c r="X25" s="401"/>
      <x:c r="Y25" s="401"/>
      <x:c r="Z25" s="401"/>
      <x:c r="AA25" s="401"/>
      <x:c r="AB25" s="401"/>
      <x:c r="AC25" s="401"/>
      <x:c r="AD25" s="401"/>
      <x:c r="AE25" s="401"/>
    </x:row>
    <x:row r="26" s="17" customFormat="1" ht="29.350000381469727" customHeight="1">
      <x:c r="A26" s="481" t="str">
        <x:v>总计</x:v>
      </x:c>
      <x:c r="B26" s="481"/>
      <x:c r="C26" s="481"/>
      <x:c r="D26" s="481"/>
      <x:c r="E26" s="481"/>
      <x:c r="F26" s="481"/>
      <x:c r="G26" s="481"/>
      <x:c r="H26" s="485"/>
      <x:c r="I26" s="486" t="n">
        <x:f>I9+I17+I22</x:f>
        <x:v>185921.25</x:v>
      </x:c>
      <x:c r="J26" s="480"/>
      <x:c r="K26" s="153"/>
      <x:c r="L26" s="153"/>
      <x:c r="M26" s="153"/>
      <x:c r="N26" s="401"/>
      <x:c r="O26" s="401"/>
      <x:c r="P26" s="401"/>
      <x:c r="Q26" s="401"/>
      <x:c r="R26" s="401"/>
      <x:c r="S26" s="401"/>
      <x:c r="T26" s="401"/>
      <x:c r="U26" s="401"/>
      <x:c r="V26" s="401"/>
      <x:c r="W26" s="401"/>
      <x:c r="X26" s="401"/>
      <x:c r="Y26" s="401"/>
      <x:c r="Z26" s="401"/>
      <x:c r="AA26" s="401"/>
      <x:c r="AB26" s="401"/>
      <x:c r="AC26" s="401"/>
      <x:c r="AD26" s="401"/>
      <x:c r="AE26" s="401"/>
    </x:row>
    <x:row r="27" ht="90" customHeight="1">
      <x:c r="A27" s="474" t="str">
        <x:v>备注：
1、以上价格为买断模式，前三年不收取软件升级服务费用；第四年起如需持续升级服务，按双方确认的服务内容执行。
2、软件及硬件价格已含13%增值税，施工及调试价格已含6%增值税。
3、本项目采用云端部署；硬件质保期按合同约定执行。
4、标注“暂估”的线缆数量按当前项目条件估算，最终以双方确认的现场实施范围为准。
5、MES双向写回、DCS控制联动及自动执行超出标准能管路径，未计价。</x:v>
      </x:c>
      <x:c r="B27" s="474"/>
      <x:c r="C27" s="474"/>
      <x:c r="D27" s="474"/>
      <x:c r="E27" s="474"/>
      <x:c r="F27" s="474"/>
      <x:c r="G27" s="474"/>
      <x:c r="H27" s="487"/>
      <x:c r="I27" s="487"/>
      <x:c r="J27" s="474"/>
      <x:c r="K27" s="417"/>
      <x:c r="L27" s="417"/>
      <x:c r="M27" s="425"/>
    </x:row>
    <x:row r="28" customHeight="1">
      <x:c r="A28" s="261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245"/>
    </x:row>
    <x:row r="29" customHeight="1">
      <x:c r="A29" s="261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245"/>
    </x:row>
    <x:row r="30" customHeight="1">
      <x:c r="A30" s="349"/>
      <x:c r="B30" s="418"/>
      <x:c r="C30" s="418"/>
      <x:c r="D30" s="418"/>
      <x:c r="E30" s="418"/>
      <x:c r="F30" s="418"/>
      <x:c r="G30" s="418"/>
      <x:c r="H30" s="418"/>
      <x:c r="I30" s="418"/>
      <x:c r="J30" s="418"/>
      <x:c r="K30" s="418"/>
      <x:c r="L30" s="418"/>
      <x:c r="M30" s="281"/>
    </x:row>
  </x:sheetData>
  <x:mergeCells>
    <x:mergeCell ref="A1:J1"/>
    <x:mergeCell ref="B3:J3"/>
    <x:mergeCell ref="A9:B9"/>
    <x:mergeCell ref="C9:H9"/>
    <x:mergeCell ref="B10:J10"/>
    <x:mergeCell ref="A17:B17"/>
    <x:mergeCell ref="C17:H17"/>
    <x:mergeCell ref="B18:J18"/>
    <x:mergeCell ref="A22:B22"/>
    <x:mergeCell ref="C22:H22"/>
    <x:mergeCell ref="B23:J23"/>
    <x:mergeCell ref="A25:B25"/>
    <x:mergeCell ref="C25:H25"/>
    <x:mergeCell ref="A26:H26"/>
    <x:mergeCell ref="A27:J27"/>
  </x:mergeCells>
  <x:pageMargins left="0.7" right="0.7" top="0.75" bottom="0.75" header="0.3" footer="0.3"/>
</x:worksheet>
</file>