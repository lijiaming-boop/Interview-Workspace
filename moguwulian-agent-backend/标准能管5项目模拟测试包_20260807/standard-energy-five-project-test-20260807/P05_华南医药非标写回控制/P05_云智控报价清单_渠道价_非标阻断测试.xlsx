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1f6337224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57da60682d31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8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182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5ae8b096740b3" /><Relationship Type="http://schemas.openxmlformats.org/officeDocument/2006/relationships/theme" Target="/xl/theme/theme1.xml" Id="R64e2348846664491" /><Relationship Type="http://schemas.openxmlformats.org/officeDocument/2006/relationships/sharedStrings" Target="/xl/sharedStrings.xml" Id="R9c96ad2b1a8e4014" /><Relationship Type="http://schemas.openxmlformats.org/officeDocument/2006/relationships/worksheet" Target="/xl/worksheets/sheet1.xml" Id="R57da60682d3140e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4" t="str">
        <x:v>能源管理与生产系统联动项目｜云智控产品报价表（渠道价）</x:v>
      </x:c>
      <x:c r="B1" s="464"/>
      <x:c r="C1" s="464"/>
      <x:c r="D1" s="464"/>
      <x:c r="E1" s="464"/>
      <x:c r="F1" s="464"/>
      <x:c r="G1" s="464"/>
      <x:c r="H1" s="464"/>
      <x:c r="I1" s="464"/>
      <x:c r="J1" s="464"/>
      <x:c r="K1" s="407"/>
      <x:c r="L1" s="407"/>
      <x:c r="M1" s="407"/>
    </x:row>
    <x:row r="2" s="400" customFormat="1" ht="30" customHeight="1">
      <x:c r="A2" s="468" t="str">
        <x:v>序号</x:v>
      </x:c>
      <x:c r="B2" s="468" t="str">
        <x:v>模块</x:v>
      </x:c>
      <x:c r="C2" s="468" t="str">
        <x:v>数量</x:v>
      </x:c>
      <x:c r="D2" s="468" t="str">
        <x:v>单位</x:v>
      </x:c>
      <x:c r="E2" s="468" t="str">
        <x:v>功能描述</x:v>
      </x:c>
      <x:c r="F2" s="468" t="str">
        <x:v>品牌</x:v>
      </x:c>
      <x:c r="G2" s="468" t="str">
        <x:v>型号</x:v>
      </x:c>
      <x:c r="H2" s="469" t="str">
        <x:v>单价（元）</x:v>
      </x:c>
      <x:c r="I2" s="469" t="str">
        <x:v>总价（元）</x:v>
      </x:c>
      <x:c r="J2" s="468" t="str">
        <x:v>备注</x:v>
      </x:c>
      <x:c r="K2" s="407"/>
      <x:c r="L2" s="407"/>
      <x:c r="M2" s="407"/>
    </x:row>
    <x:row r="3" s="17" customFormat="1" ht="24" customHeight="1">
      <x:c r="A3" s="468" t="str">
        <x:v>一</x:v>
      </x:c>
      <x:c r="B3" s="471" t="str">
        <x:v>平台软件</x:v>
      </x:c>
      <x:c r="C3" s="471"/>
      <x:c r="D3" s="471"/>
      <x:c r="E3" s="471"/>
      <x:c r="F3" s="471"/>
      <x:c r="G3" s="471"/>
      <x:c r="H3" s="471"/>
      <x:c r="I3" s="471"/>
      <x:c r="J3" s="471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2" t="n">
        <x:v>1</x:v>
      </x:c>
      <x:c r="B4" s="477" t="str">
        <x:v>系统基础平台</x:v>
      </x:c>
      <x:c r="C4" s="462" t="n">
        <x:v>1</x:v>
      </x:c>
      <x:c r="D4" s="462" t="str">
        <x:v>套</x:v>
      </x:c>
      <x:c r="E4" s="474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2" t="str">
        <x:v>蘑菇物联</x:v>
      </x:c>
      <x:c r="G4" s="462" t="str">
        <x:v>云智控4.0</x:v>
      </x:c>
      <x:c r="H4" s="483" t="n">
        <x:v>42000</x:v>
      </x:c>
      <x:c r="I4" s="483" t="n">
        <x:f>C4*H4</x:f>
        <x:v>42000</x:v>
      </x:c>
      <x:c r="J4" s="462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2" t="n">
        <x:v>2</x:v>
      </x:c>
      <x:c r="B5" s="478" t="str">
        <x:v>数据点位</x:v>
      </x:c>
      <x:c r="C5" s="462" t="n">
        <x:v>1000</x:v>
      </x:c>
      <x:c r="D5" s="462" t="str">
        <x:v>点</x:v>
      </x:c>
      <x:c r="E5" s="474" t="str">
        <x:v>能源管理系统数据点位授权，支持本次项目范围内计量设备的数据接入、存储、展示和统计分析。</x:v>
      </x:c>
      <x:c r="F5" s="462" t="str">
        <x:v>蘑菇物联</x:v>
      </x:c>
      <x:c r="G5" s="462" t="str">
        <x:v>云智控4.0</x:v>
      </x:c>
      <x:c r="H5" s="483" t="n">
        <x:v>24.5</x:v>
      </x:c>
      <x:c r="I5" s="483" t="n">
        <x:f>C5*H5</x:f>
        <x:v>24500</x:v>
      </x:c>
      <x:c r="J5" s="475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42" customHeight="1">
      <x:c r="A6" s="462" t="n">
        <x:v>3</x:v>
      </x:c>
      <x:c r="B6" s="462" t="str">
        <x:v>MES双向数据接口</x:v>
      </x:c>
      <x:c r="C6" s="462" t="n">
        <x:v>1</x:v>
      </x:c>
      <x:c r="D6" s="462" t="str">
        <x:v>项</x:v>
      </x:c>
      <x:c r="E6" s="476" t="str">
        <x:v>涉及生产数据读取及结果写回，需结合接口文档、字段和业务流程专项评估。</x:v>
      </x:c>
      <x:c r="F6" s="462" t="str"/>
      <x:c r="G6" s="462" t="str"/>
      <x:c r="H6" s="483" t="str">
        <x:v>专项评估</x:v>
      </x:c>
      <x:c r="I6" s="483"/>
      <x:c r="J6" s="462" t="str">
        <x:v>未计入合计</x:v>
      </x:c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42" customHeight="1">
      <x:c r="A7" s="462" t="n">
        <x:v>4</x:v>
      </x:c>
      <x:c r="B7" s="462" t="str">
        <x:v>DCS控制接口</x:v>
      </x:c>
      <x:c r="C7" s="462" t="n">
        <x:v>1</x:v>
      </x:c>
      <x:c r="D7" s="462" t="str">
        <x:v>项</x:v>
      </x:c>
      <x:c r="E7" s="476" t="str">
        <x:v>涉及控制指令和启停联动，需先确认控制权限、安全边界和验收条件。</x:v>
      </x:c>
      <x:c r="F7" s="462" t="str"/>
      <x:c r="G7" s="462" t="str"/>
      <x:c r="H7" s="483" t="str">
        <x:v>专项评估</x:v>
      </x:c>
      <x:c r="I7" s="483"/>
      <x:c r="J7" s="462" t="str">
        <x:v>未计入合计</x:v>
      </x:c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2" t="n">
        <x:v>5</x:v>
      </x:c>
      <x:c r="B8" s="462" t="str">
        <x:v>策略优化与自动执行</x:v>
      </x:c>
      <x:c r="C8" s="462" t="n">
        <x:v>1</x:v>
      </x:c>
      <x:c r="D8" s="462" t="str">
        <x:v>项</x:v>
      </x:c>
      <x:c r="E8" s="476" t="str">
        <x:v>需求超出标准能管的数据采集、监测、统计和报表范围，需专项方案及产品评估。</x:v>
      </x:c>
      <x:c r="F8" s="462" t="str"/>
      <x:c r="G8" s="462" t="str"/>
      <x:c r="H8" s="483" t="str">
        <x:v>专项评估</x:v>
      </x:c>
      <x:c r="I8" s="483"/>
      <x:c r="J8" s="462" t="str">
        <x:v>未计入合计</x:v>
      </x:c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24" customHeight="1">
      <x:c r="A9" s="462" t="str">
        <x:v>小计</x:v>
      </x:c>
      <x:c r="B9" s="462"/>
      <x:c r="C9" s="462"/>
      <x:c r="D9" s="462"/>
      <x:c r="E9" s="475"/>
      <x:c r="F9" s="462"/>
      <x:c r="G9" s="462"/>
      <x:c r="H9" s="483"/>
      <x:c r="I9" s="483" t="n">
        <x:f>SUM(I4:I8)</x:f>
        <x:v>66500</x:v>
      </x:c>
      <x:c r="J9" s="462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24" customHeight="1">
      <x:c r="A10" s="468" t="str">
        <x:v>二</x:v>
      </x:c>
      <x:c r="B10" s="471" t="str">
        <x:v>硬件设备及仪表</x:v>
      </x:c>
      <x:c r="C10" s="471"/>
      <x:c r="D10" s="471"/>
      <x:c r="E10" s="473"/>
      <x:c r="F10" s="471"/>
      <x:c r="G10" s="471"/>
      <x:c r="H10" s="484"/>
      <x:c r="I10" s="484"/>
      <x:c r="J10" s="471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2" t="n">
        <x:v>1</x:v>
      </x:c>
      <x:c r="B11" s="462" t="str">
        <x:v>能管云盒</x:v>
      </x:c>
      <x:c r="C11" s="462" t="n">
        <x:v>20</x:v>
      </x:c>
      <x:c r="D11" s="462" t="str">
        <x:v>个</x:v>
      </x:c>
      <x:c r="E11" s="476" t="str">
        <x:v>用于现场计量设备的数据采集、协议转换和数据上传。</x:v>
      </x:c>
      <x:c r="F11" s="462" t="str">
        <x:v>蘑菇物联</x:v>
      </x:c>
      <x:c r="G11" s="462" t="str">
        <x:v>MAXW4-C1LN</x:v>
      </x:c>
      <x:c r="H11" s="483" t="n">
        <x:v>840</x:v>
      </x:c>
      <x:c r="I11" s="483" t="n">
        <x:f>C11*H11</x:f>
        <x:v>16800</x:v>
      </x:c>
      <x:c r="J11" s="462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2" t="n">
        <x:v>2</x:v>
      </x:c>
      <x:c r="B12" s="462" t="str">
        <x:v>通讯箱</x:v>
      </x:c>
      <x:c r="C12" s="462" t="n">
        <x:v>20</x:v>
      </x:c>
      <x:c r="D12" s="462" t="str">
        <x:v>个</x:v>
      </x:c>
      <x:c r="E12" s="474" t="str">
        <x:v>用于能管云盒、电源及保护器件的现场安装和防护。</x:v>
      </x:c>
      <x:c r="F12" s="462" t="str">
        <x:v>蘑菇物联</x:v>
      </x:c>
      <x:c r="G12" s="462" t="str">
        <x:v>MG-3号电箱</x:v>
      </x:c>
      <x:c r="H12" s="483" t="n">
        <x:v>105</x:v>
      </x:c>
      <x:c r="I12" s="483" t="n">
        <x:f>C12*H12</x:f>
        <x:v>2100</x:v>
      </x:c>
      <x:c r="J12" s="462" t="str"/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2" t="n">
        <x:v>3</x:v>
      </x:c>
      <x:c r="B13" s="462" t="str">
        <x:v>开关电源</x:v>
      </x:c>
      <x:c r="C13" s="462" t="n">
        <x:v>20</x:v>
      </x:c>
      <x:c r="D13" s="462" t="str">
        <x:v>个</x:v>
      </x:c>
      <x:c r="E13" s="474" t="str">
        <x:v>DC24V导轨式电源，为现场采集设备提供稳定供电。</x:v>
      </x:c>
      <x:c r="F13" s="462" t="str">
        <x:v>金升阳</x:v>
      </x:c>
      <x:c r="G13" s="462" t="str">
        <x:v>LI30-20B24PR2</x:v>
      </x:c>
      <x:c r="H13" s="483" t="n">
        <x:v>73</x:v>
      </x:c>
      <x:c r="I13" s="483" t="n">
        <x:f>C13*H13</x:f>
        <x:v>1460</x:v>
      </x:c>
      <x:c r="J13" s="462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2" t="n">
        <x:v>4</x:v>
      </x:c>
      <x:c r="B14" s="462" t="str">
        <x:v>空气开关</x:v>
      </x:c>
      <x:c r="C14" s="462" t="n">
        <x:v>20</x:v>
      </x:c>
      <x:c r="D14" s="462" t="str">
        <x:v>个</x:v>
      </x:c>
      <x:c r="E14" s="474" t="str">
        <x:v>2P导轨式空气开关，用于通讯箱供电回路保护。</x:v>
      </x:c>
      <x:c r="F14" s="462" t="str">
        <x:v>施耐德</x:v>
      </x:c>
      <x:c r="G14" s="462" t="str">
        <x:v>2P/10A</x:v>
      </x:c>
      <x:c r="H14" s="483" t="n">
        <x:v>54</x:v>
      </x:c>
      <x:c r="I14" s="483" t="n">
        <x:f>C14*H14</x:f>
        <x:v>1080</x:v>
      </x:c>
      <x:c r="J14" s="462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2" t="n">
        <x:v>5</x:v>
      </x:c>
      <x:c r="B15" s="462" t="str">
        <x:v>屏蔽双绞线</x:v>
      </x:c>
      <x:c r="C15" s="462" t="n">
        <x:v>270</x:v>
      </x:c>
      <x:c r="D15" s="462" t="str">
        <x:v>米</x:v>
      </x:c>
      <x:c r="E15" s="474" t="str">
        <x:v>用于现场计量设备RS485通讯接线。</x:v>
      </x:c>
      <x:c r="F15" s="462" t="str">
        <x:v>国产优质</x:v>
      </x:c>
      <x:c r="G15" s="462" t="str">
        <x:v>RVSP2*1.0</x:v>
      </x:c>
      <x:c r="H15" s="483" t="n">
        <x:v>5.1</x:v>
      </x:c>
      <x:c r="I15" s="483" t="n">
        <x:f>C15*H15</x:f>
        <x:v>1377</x:v>
      </x:c>
      <x:c r="J15" s="462" t="str">
        <x:v>暂估</x:v>
      </x:c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2" t="n">
        <x:v>6</x:v>
      </x:c>
      <x:c r="B16" s="462" t="str">
        <x:v>电源线</x:v>
      </x:c>
      <x:c r="C16" s="462" t="n">
        <x:v>400</x:v>
      </x:c>
      <x:c r="D16" s="462" t="str">
        <x:v>米</x:v>
      </x:c>
      <x:c r="E16" s="474" t="str">
        <x:v>用于通讯箱、能管云盒及相关设备供电接线。</x:v>
      </x:c>
      <x:c r="F16" s="462" t="str">
        <x:v>国产优质</x:v>
      </x:c>
      <x:c r="G16" s="462" t="str">
        <x:v>RVV3*1.5</x:v>
      </x:c>
      <x:c r="H16" s="483" t="n">
        <x:v>6</x:v>
      </x:c>
      <x:c r="I16" s="483" t="n">
        <x:f>C16*H16</x:f>
        <x:v>2400</x:v>
      </x:c>
      <x:c r="J16" s="462" t="str">
        <x:v>暂估</x:v>
      </x:c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24" customHeight="1">
      <x:c r="A17" s="462" t="str">
        <x:v>小计</x:v>
      </x:c>
      <x:c r="B17" s="462"/>
      <x:c r="C17" s="462"/>
      <x:c r="D17" s="462"/>
      <x:c r="E17" s="462"/>
      <x:c r="F17" s="462"/>
      <x:c r="G17" s="462"/>
      <x:c r="H17" s="483"/>
      <x:c r="I17" s="483" t="n">
        <x:f>SUM(I11:I16)</x:f>
        <x:v>25217</x:v>
      </x:c>
      <x:c r="J17" s="462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24" customHeight="1">
      <x:c r="A18" s="468" t="str">
        <x:v>三</x:v>
      </x:c>
      <x:c r="B18" s="471" t="str">
        <x:v>施工及调试</x:v>
      </x:c>
      <x:c r="C18" s="471"/>
      <x:c r="D18" s="471"/>
      <x:c r="E18" s="471"/>
      <x:c r="F18" s="471"/>
      <x:c r="G18" s="471"/>
      <x:c r="H18" s="484"/>
      <x:c r="I18" s="484"/>
      <x:c r="J18" s="471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2" t="n">
        <x:v>1</x:v>
      </x:c>
      <x:c r="B19" s="462" t="str">
        <x:v>通讯箱安装</x:v>
      </x:c>
      <x:c r="C19" s="462" t="n">
        <x:v>20</x:v>
      </x:c>
      <x:c r="D19" s="462" t="str">
        <x:v>台</x:v>
      </x:c>
      <x:c r="E19" s="474" t="str">
        <x:v>通讯箱现场挂墙安装、固定及箱内设备安装。</x:v>
      </x:c>
      <x:c r="F19" s="462" t="str"/>
      <x:c r="G19" s="462" t="str"/>
      <x:c r="H19" s="483" t="n">
        <x:v>350</x:v>
      </x:c>
      <x:c r="I19" s="483" t="n">
        <x:f>C19*H19</x:f>
        <x:v>7000</x:v>
      </x:c>
      <x:c r="J19" s="462" t="str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2" t="n">
        <x:v>2</x:v>
      </x:c>
      <x:c r="B20" s="462" t="str">
        <x:v>集中区域通讯线敷设</x:v>
      </x:c>
      <x:c r="C20" s="462" t="n">
        <x:v>90</x:v>
      </x:c>
      <x:c r="D20" s="462" t="str">
        <x:v>点</x:v>
      </x:c>
      <x:c r="E20" s="474" t="str">
        <x:v>配电房、站房、水表区域等集中区域计量设备通讯线敷设。</x:v>
      </x:c>
      <x:c r="F20" s="462" t="str"/>
      <x:c r="G20" s="462" t="str"/>
      <x:c r="H20" s="483" t="n">
        <x:v>100</x:v>
      </x:c>
      <x:c r="I20" s="483" t="n">
        <x:f>C20*H20</x:f>
        <x:v>9000</x:v>
      </x:c>
      <x:c r="J20" s="462" t="str"/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62" t="n">
        <x:v>3</x:v>
      </x:c>
      <x:c r="B21" s="462" t="str">
        <x:v>系统调试及培训</x:v>
      </x:c>
      <x:c r="C21" s="462" t="n">
        <x:v>20</x:v>
      </x:c>
      <x:c r="D21" s="462" t="str">
        <x:v>人天</x:v>
      </x:c>
      <x:c r="E21" s="474" t="str">
        <x:v>含现场设备接入、系统联调、基础培训及交付配合。</x:v>
      </x:c>
      <x:c r="F21" s="462" t="str"/>
      <x:c r="G21" s="462" t="str"/>
      <x:c r="H21" s="483" t="n">
        <x:v>1500</x:v>
      </x:c>
      <x:c r="I21" s="483" t="n">
        <x:f>C21*H21</x:f>
        <x:v>30000</x:v>
      </x:c>
      <x:c r="J21" s="462" t="str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62" t="str">
        <x:v>小计</x:v>
      </x:c>
      <x:c r="B22" s="462"/>
      <x:c r="C22" s="462"/>
      <x:c r="D22" s="462"/>
      <x:c r="E22" s="462"/>
      <x:c r="F22" s="462"/>
      <x:c r="G22" s="462"/>
      <x:c r="H22" s="483"/>
      <x:c r="I22" s="483" t="n">
        <x:f>SUM(I19:I21)</x:f>
        <x:v>46000</x:v>
      </x:c>
      <x:c r="J22" s="462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4" customHeight="1">
      <x:c r="A23" s="468" t="str">
        <x:v>四</x:v>
      </x:c>
      <x:c r="B23" s="471" t="str">
        <x:v>税费（软硬件13%，施工调试6%）</x:v>
      </x:c>
      <x:c r="C23" s="471"/>
      <x:c r="D23" s="471"/>
      <x:c r="E23" s="471"/>
      <x:c r="F23" s="471"/>
      <x:c r="G23" s="471"/>
      <x:c r="H23" s="484"/>
      <x:c r="I23" s="484"/>
      <x:c r="J23" s="471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2" t="n">
        <x:v>1</x:v>
      </x:c>
      <x:c r="B24" s="462" t="str">
        <x:v>已含增值税</x:v>
      </x:c>
      <x:c r="C24" s="462" t="n">
        <x:v>1</x:v>
      </x:c>
      <x:c r="D24" s="462" t="str">
        <x:v>项</x:v>
      </x:c>
      <x:c r="E24" s="474" t="str">
        <x:v>软件及硬件价格已含13%增值税，施工及调试价格已含6%增值税，本项仅列示税额，不重复计入总价。</x:v>
      </x:c>
      <x:c r="F24" s="462" t="str"/>
      <x:c r="G24" s="462" t="str"/>
      <x:c r="H24" s="483" t="str">
        <x:v>/</x:v>
      </x:c>
      <x:c r="I24" s="483" t="n">
        <x:f>(I9+I17)*13/113+I22*6/106</x:f>
        <x:v>13155.286859241944</x:v>
      </x:c>
      <x:c r="J24" s="462" t="str">
        <x:v>已含，不另计</x:v>
      </x:c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4" customHeight="1">
      <x:c r="A25" s="462" t="str">
        <x:v>税额小计（已含）</x:v>
      </x:c>
      <x:c r="B25" s="462"/>
      <x:c r="C25" s="462"/>
      <x:c r="D25" s="462"/>
      <x:c r="E25" s="462"/>
      <x:c r="F25" s="462"/>
      <x:c r="G25" s="462"/>
      <x:c r="H25" s="483"/>
      <x:c r="I25" s="483" t="n">
        <x:f>I24</x:f>
        <x:v>13155.286859241944</x:v>
      </x:c>
      <x:c r="J25" s="462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481" t="str">
        <x:v>总计</x:v>
      </x:c>
      <x:c r="B26" s="481"/>
      <x:c r="C26" s="481"/>
      <x:c r="D26" s="481"/>
      <x:c r="E26" s="481"/>
      <x:c r="F26" s="481"/>
      <x:c r="G26" s="481"/>
      <x:c r="H26" s="485"/>
      <x:c r="I26" s="486" t="n">
        <x:f>I9+I17+I22</x:f>
        <x:v>137717</x:v>
      </x:c>
      <x:c r="J26" s="480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90" customHeight="1">
      <x:c r="A27" s="474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
5、MES双向写回、DCS控制联动及自动执行超出标准能管路径，未计价。</x:v>
      </x:c>
      <x:c r="B27" s="474"/>
      <x:c r="C27" s="474"/>
      <x:c r="D27" s="474"/>
      <x:c r="E27" s="474"/>
      <x:c r="F27" s="474"/>
      <x:c r="G27" s="474"/>
      <x:c r="H27" s="487"/>
      <x:c r="I27" s="487"/>
      <x:c r="J27" s="474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9:B9"/>
    <x:mergeCell ref="C9:H9"/>
    <x:mergeCell ref="B10:J10"/>
    <x:mergeCell ref="A17:B17"/>
    <x:mergeCell ref="C17:H17"/>
    <x:mergeCell ref="B18:J18"/>
    <x:mergeCell ref="A22:B22"/>
    <x:mergeCell ref="C22:H22"/>
    <x:mergeCell ref="B23:J23"/>
    <x:mergeCell ref="A25:B25"/>
    <x:mergeCell ref="C25:H25"/>
    <x:mergeCell ref="A26:H26"/>
    <x:mergeCell ref="A27:J27"/>
  </x:mergeCells>
  <x:pageMargins left="0.7" right="0.7" top="0.75" bottom="0.75" header="0.3" footer="0.3"/>
</x:worksheet>
</file>