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0c056751c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5e1f6250cb23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5">
    <x:font>
      <x:sz val="11"/>
      <x:name val="Carlito"/>
    </x:font>
    <x:font>
      <x:b/>
      <x:sz val="16"/>
      <x:color rgb="FFFFFFFF"/>
      <x:name val="微软雅黑"/>
    </x:font>
    <x:font>
      <x:b/>
      <x:sz val="10"/>
      <x:color rgb="FF7F6000"/>
      <x:name val="微软雅黑"/>
    </x:font>
    <x:font>
      <x:b/>
      <x:sz val="10"/>
      <x:color rgb="FF1F1F1F"/>
      <x:name val="微软雅黑"/>
    </x:font>
    <x:font>
      <x:sz val="10"/>
      <x:color rgb="FF1F1F1F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right" vertical="center" wrapText="1"/>
    </x:xf>
    <x:xf numFmtId="200" fontId="4" fillId="0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a671aaa2d4dee" /><Relationship Type="http://schemas.openxmlformats.org/officeDocument/2006/relationships/theme" Target="/xl/theme/theme1.xml" Id="R9babed9aeee7484c" /><Relationship Type="http://schemas.openxmlformats.org/officeDocument/2006/relationships/sharedStrings" Target="/xl/sharedStrings.xml" Id="Ra8112a23d1254277" /><Relationship Type="http://schemas.openxmlformats.org/officeDocument/2006/relationships/worksheet" Target="/xl/worksheets/sheet1.xml" Id="R5e1f6250cb23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15" hidden="0" customWidth="1"/>
    <x:col min="12" max="12" width="15" hidden="0" customWidth="1"/>
    <x:col min="13" max="13" width="28" hidden="0" customWidth="1"/>
    <x:col min="14" max="14" width="42" hidden="0" customWidth="1"/>
    <x:col min="15" max="15" width="36" hidden="0" customWidth="1"/>
    <x:col min="16" max="16" width="36" hidden="0" customWidth="1"/>
  </x:cols>
  <x:sheetData>
    <x:row r="1" ht="34" customHeight="1">
      <x:c r="A1" s="4" t="str">
        <x:v>标准能管自动报价｜5个模拟项目测试总览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8" t="str">
        <x:v>本文件及各项目文件均为 Skill 模拟测试产物，不作为正式客户报价。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2" customHeight="1">
      <x:c r="A4" s="14" t="str">
        <x:v>编号</x:v>
      </x:c>
      <x:c r="B4" s="14" t="str">
        <x:v>项目</x:v>
      </x:c>
      <x:c r="C4" s="14" t="str">
        <x:v>测试重点</x:v>
      </x:c>
      <x:c r="D4" s="14" t="str">
        <x:v>原始点位</x:v>
      </x:c>
      <x:c r="E4" s="14" t="str">
        <x:v>报价点位</x:v>
      </x:c>
      <x:c r="F4" s="14" t="str">
        <x:v>既有表计</x:v>
      </x:c>
      <x:c r="G4" s="14" t="str">
        <x:v>新增表计</x:v>
      </x:c>
      <x:c r="H4" s="14" t="str">
        <x:v>全量接入</x:v>
      </x:c>
      <x:c r="I4" s="14" t="str">
        <x:v>能管云盒</x:v>
      </x:c>
      <x:c r="J4" s="14" t="str">
        <x:v>测试状态</x:v>
      </x:c>
      <x:c r="K4" s="14" t="str">
        <x:v>标准价合计</x:v>
      </x:c>
      <x:c r="L4" s="14" t="str">
        <x:v>渠道价合计</x:v>
      </x:c>
      <x:c r="M4" s="14" t="str">
        <x:v>有效产出判断</x:v>
      </x:c>
      <x:c r="N4" s="14" t="str">
        <x:v>阻断/说明</x:v>
      </x:c>
      <x:c r="O4" s="14" t="str">
        <x:v>标准价文件</x:v>
      </x:c>
      <x:c r="P4" s="14" t="str">
        <x:v>渠道价文件</x:v>
      </x:c>
    </x:row>
    <x:row r="5" ht="54" customHeight="1">
      <x:c r="A5" s="21" t="str">
        <x:v>P01</x:v>
      </x:c>
      <x:c r="B5" s="18" t="str">
        <x:v>基础能源管理建设项目</x:v>
      </x:c>
      <x:c r="C5" s="18" t="str">
        <x:v>基础接入与辅材依赖</x:v>
      </x:c>
      <x:c r="D5" s="22" t="n">
        <x:v>792</x:v>
      </x:c>
      <x:c r="E5" s="22" t="n">
        <x:f>CEILING(D5,1000)</x:f>
        <x:v>1000</x:v>
      </x:c>
      <x:c r="F5" s="22" t="n">
        <x:v>72</x:v>
      </x:c>
      <x:c r="G5" s="22" t="n">
        <x:v>0</x:v>
      </x:c>
      <x:c r="H5" s="22" t="n">
        <x:f>F5+G5</x:f>
        <x:v>72</x:v>
      </x:c>
      <x:c r="I5" s="22" t="n">
        <x:v>16</x:v>
      </x:c>
      <x:c r="J5" s="23" t="str">
        <x:v>AUTO</x:v>
      </x:c>
      <x:c r="K5" s="23" t="n">
        <x:v>167737</x:v>
      </x:c>
      <x:c r="L5" s="23" t="n">
        <x:v>123473.6</x:v>
      </x:c>
      <x:c r="M5" s="18" t="str">
        <x:v>可形成完整模拟报价</x:v>
      </x:c>
      <x:c r="N5" s="18" t="str">
        <x:v>无；线缆数量按集中区域模拟条件暂估。</x:v>
      </x:c>
      <x:c r="O5" s="18" t="str">
        <x:v>P01_云智控报价清单_标准价_模拟测试.xlsx</x:v>
      </x:c>
      <x:c r="P5" s="18" t="str">
        <x:v>P01_云智控报价清单_渠道价_模拟测试.xlsx</x:v>
      </x:c>
    </x:row>
    <x:row r="6" ht="54" customHeight="1">
      <x:c r="A6" s="21" t="str">
        <x:v>P02</x:v>
      </x:c>
      <x:c r="B6" s="18" t="str">
        <x:v>本地化能源管理建设项目</x:v>
      </x:c>
      <x:c r="C6" s="18" t="str">
        <x:v>本地化、选配软件、增量报表</x:v>
      </x:c>
      <x:c r="D6" s="22" t="n">
        <x:v>600</x:v>
      </x:c>
      <x:c r="E6" s="22" t="n">
        <x:f>CEILING(D6,1000)</x:f>
        <x:v>1000</x:v>
      </x:c>
      <x:c r="F6" s="22" t="n">
        <x:v>56</x:v>
      </x:c>
      <x:c r="G6" s="22" t="n">
        <x:v>0</x:v>
      </x:c>
      <x:c r="H6" s="22" t="n">
        <x:f>F6+G6</x:f>
        <x:v>56</x:v>
      </x:c>
      <x:c r="I6" s="22" t="n">
        <x:v>14</x:v>
      </x:c>
      <x:c r="J6" s="23" t="str">
        <x:v>AUTO</x:v>
      </x:c>
      <x:c r="K6" s="23" t="n">
        <x:v>279781</x:v>
      </x:c>
      <x:c r="L6" s="23" t="n">
        <x:v>202914.8</x:v>
      </x:c>
      <x:c r="M6" s="18" t="str">
        <x:v>可形成完整模拟报价</x:v>
      </x:c>
      <x:c r="N6" s="18" t="str">
        <x:v>无；服务器按客户提供处理。</x:v>
      </x:c>
      <x:c r="O6" s="18" t="str">
        <x:v>P02_云智控报价清单_标准价_模拟测试.xlsx</x:v>
      </x:c>
      <x:c r="P6" s="18" t="str">
        <x:v>P02_云智控报价清单_渠道价_模拟测试.xlsx</x:v>
      </x:c>
    </x:row>
    <x:row r="7" ht="54" customHeight="1">
      <x:c r="A7" s="21" t="str">
        <x:v>P03</x:v>
      </x:c>
      <x:c r="B7" s="18" t="str">
        <x:v>新增计量与能源管理建设项目</x:v>
      </x:c>
      <x:c r="C7" s="18" t="str">
        <x:v>新增电表、CT、水表及施工</x:v>
      </x:c>
      <x:c r="D7" s="22" t="n">
        <x:v>651</x:v>
      </x:c>
      <x:c r="E7" s="22" t="n">
        <x:f>CEILING(D7,1000)</x:f>
        <x:v>1000</x:v>
      </x:c>
      <x:c r="F7" s="22" t="n">
        <x:v>46</x:v>
      </x:c>
      <x:c r="G7" s="22" t="n">
        <x:v>15</x:v>
      </x:c>
      <x:c r="H7" s="22" t="n">
        <x:f>F7+G7</x:f>
        <x:v>61</x:v>
      </x:c>
      <x:c r="I7" s="22" t="n">
        <x:v>16</x:v>
      </x:c>
      <x:c r="J7" s="23" t="str">
        <x:v>AUTO</x:v>
      </x:c>
      <x:c r="K7" s="23" t="n">
        <x:v>189333.225</x:v>
      </x:c>
      <x:c r="L7" s="23" t="n">
        <x:v>142128.58000000002</x:v>
      </x:c>
      <x:c r="M7" s="18" t="str">
        <x:v>可形成完整模拟报价</x:v>
      </x:c>
      <x:c r="N7" s="18" t="str">
        <x:v>无；CT规格、形式和水表管径均已闭合。</x:v>
      </x:c>
      <x:c r="O7" s="18" t="str">
        <x:v>P03_云智控报价清单_标准价_模拟测试.xlsx</x:v>
      </x:c>
      <x:c r="P7" s="18" t="str">
        <x:v>P03_云智控报价清单_渠道价_模拟测试.xlsx</x:v>
      </x:c>
    </x:row>
    <x:row r="8" ht="54" customHeight="1">
      <x:c r="A8" s="21" t="str">
        <x:v>P04</x:v>
      </x:c>
      <x:c r="B8" s="18" t="str">
        <x:v>蒸汽与天然气计量接入项目</x:v>
      </x:c>
      <x:c r="C8" s="18" t="str">
        <x:v>蒸汽/天然气待询价阻断</x:v>
      </x:c>
      <x:c r="D8" s="22" t="n">
        <x:v>405</x:v>
      </x:c>
      <x:c r="E8" s="22" t="n">
        <x:f>CEILING(D8,1000)</x:f>
        <x:v>1000</x:v>
      </x:c>
      <x:c r="F8" s="22" t="n">
        <x:v>36</x:v>
      </x:c>
      <x:c r="G8" s="22" t="n">
        <x:v>3</x:v>
      </x:c>
      <x:c r="H8" s="22" t="n">
        <x:f>F8+G8</x:f>
        <x:v>39</x:v>
      </x:c>
      <x:c r="I8" s="22" t="n">
        <x:v>11</x:v>
      </x:c>
      <x:c r="J8" s="23" t="str">
        <x:v>INQUIRY</x:v>
      </x:c>
      <x:c r="K8" s="23" t="n">
        <x:v>143755.875</x:v>
      </x:c>
      <x:c r="L8" s="23" t="n">
        <x:v>104458.7</x:v>
      </x:c>
      <x:c r="M8" s="18" t="str">
        <x:v>仅形成待询价测试清单，不得作为金额完整报价</x:v>
      </x:c>
      <x:c r="N8" s="18" t="str">
        <x:v>新增蒸汽表、天然气表及安装费用待询价，未计入合计。</x:v>
      </x:c>
      <x:c r="O8" s="18" t="str">
        <x:v>P04_云智控报价清单_标准价_待询价测试.xlsx</x:v>
      </x:c>
      <x:c r="P8" s="18" t="str">
        <x:v>P04_云智控报价清单_渠道价_待询价测试.xlsx</x:v>
      </x:c>
    </x:row>
    <x:row r="9" ht="54" customHeight="1">
      <x:c r="A9" s="21" t="str">
        <x:v>P05</x:v>
      </x:c>
      <x:c r="B9" s="18" t="str">
        <x:v>能源管理与生产系统联动项目</x:v>
      </x:c>
      <x:c r="C9" s="18" t="str">
        <x:v>写回、控制联动非标阻断</x:v>
      </x:c>
      <x:c r="D9" s="22" t="n">
        <x:v>990</x:v>
      </x:c>
      <x:c r="E9" s="22" t="n">
        <x:f>CEILING(D9,1000)</x:f>
        <x:v>1000</x:v>
      </x:c>
      <x:c r="F9" s="22" t="n">
        <x:v>90</x:v>
      </x:c>
      <x:c r="G9" s="22" t="n">
        <x:v>0</x:v>
      </x:c>
      <x:c r="H9" s="22" t="n">
        <x:f>F9+G9</x:f>
        <x:v>90</x:v>
      </x:c>
      <x:c r="I9" s="22" t="n">
        <x:v>20</x:v>
      </x:c>
      <x:c r="J9" s="23" t="str">
        <x:v>NONSTANDARD</x:v>
      </x:c>
      <x:c r="K9" s="23" t="n">
        <x:v>185921.25</x:v>
      </x:c>
      <x:c r="L9" s="23" t="n">
        <x:v>137717</x:v>
      </x:c>
      <x:c r="M9" s="18" t="str">
        <x:v>仅形成标准范围参考清单；专项需求转非标评估</x:v>
      </x:c>
      <x:c r="N9" s="18" t="str">
        <x:v>MES双向写回、DCS控制联动及自动执行超出标准能管路径，未计价。</x:v>
      </x:c>
      <x:c r="O9" s="18" t="str">
        <x:v>P05_云智控报价清单_标准价_非标阻断测试.xlsx</x:v>
      </x:c>
      <x:c r="P9" s="18" t="str">
        <x:v>P05_云智控报价清单_渠道价_非标阻断测试.xlsx</x:v>
      </x:c>
    </x:row>
  </x:sheetData>
  <x:mergeCells>
    <x:mergeCell ref="A1:P1"/>
    <x:mergeCell ref="A2:P2"/>
  </x:mergeCells>
  <x:conditionalFormatting sqref="J5:J9">
    <x:cfRule type="expression" dxfId="0" priority="1">
      <x:formula>J5="AUTO"</x:formula>
    </x:cfRule>
    <x:cfRule type="expression" dxfId="1" priority="2">
      <x:formula>J5="INQUIRY"</x:formula>
    </x:cfRule>
    <x:cfRule type="expression" dxfId="2" priority="3">
      <x:formula>J5="NONSTANDARD"</x:formula>
    </x:cfRule>
  </x:conditionalFormatting>
  <x:pageMargins left="0.7" right="0.7" top="0.75" bottom="0.75" header="0.3" footer="0.3"/>
</x:worksheet>
</file>